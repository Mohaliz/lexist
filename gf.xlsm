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Admin\Desktop\"/>
    </mc:Choice>
  </mc:AlternateContent>
  <bookViews>
    <workbookView xWindow="0" yWindow="0" windowWidth="19200" windowHeight="6770" activeTab="4"/>
  </bookViews>
  <sheets>
    <sheet name="Sheet3" sheetId="6" r:id="rId1"/>
    <sheet name="Sheet4" sheetId="7" r:id="rId2"/>
    <sheet name="Sheet5" sheetId="8" r:id="rId3"/>
    <sheet name="Sheet6" sheetId="9" r:id="rId4"/>
    <sheet name="calc" sheetId="4" r:id="rId5"/>
    <sheet name="report" sheetId="5" r:id="rId6"/>
    <sheet name="main" sheetId="3" r:id="rId7"/>
  </sheets>
  <functionGroups builtInGroupCount="18"/>
  <definedNames>
    <definedName name="d">calc!$P$13</definedName>
    <definedName name="Slicer_الاداره">#N/A</definedName>
    <definedName name="Slicer_الفرع">#N/A</definedName>
    <definedName name="Slicer_القسم">#N/A</definedName>
    <definedName name="Slicer_الوحده">#N/A</definedName>
    <definedName name="Slicer_الوظيفه">#N/A</definedName>
    <definedName name="Sum_of_الاجازه">calc!$P$13</definedName>
  </definedNames>
  <calcPr calcId="152511"/>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0" i="4" l="1"/>
  <c r="M10" i="4" s="1"/>
  <c r="J12" i="4" s="1"/>
  <c r="J10" i="4" l="1"/>
  <c r="J9" i="4"/>
  <c r="J8" i="4"/>
  <c r="J11" i="4"/>
  <c r="J7" i="4"/>
  <c r="J6" i="4"/>
  <c r="I2" i="3"/>
  <c r="I11" i="3"/>
  <c r="I5" i="3"/>
  <c r="I9" i="3"/>
  <c r="I6" i="3"/>
  <c r="I10" i="3"/>
  <c r="I4" i="3"/>
  <c r="I8" i="3"/>
  <c r="I7" i="3"/>
  <c r="I3" i="3"/>
</calcChain>
</file>

<file path=xl/sharedStrings.xml><?xml version="1.0" encoding="utf-8"?>
<sst xmlns="http://schemas.openxmlformats.org/spreadsheetml/2006/main" count="298" uniqueCount="75">
  <si>
    <t>الرقم</t>
  </si>
  <si>
    <t>الاسم</t>
  </si>
  <si>
    <t xml:space="preserve">الاداره </t>
  </si>
  <si>
    <t>القسم</t>
  </si>
  <si>
    <t>الوحده</t>
  </si>
  <si>
    <t>الوظيفه</t>
  </si>
  <si>
    <t>العمر</t>
  </si>
  <si>
    <t>الاجازه</t>
  </si>
  <si>
    <t>محمد على</t>
  </si>
  <si>
    <t>ماون</t>
  </si>
  <si>
    <t>حسين</t>
  </si>
  <si>
    <t>امين</t>
  </si>
  <si>
    <t>عادل</t>
  </si>
  <si>
    <t>كمال</t>
  </si>
  <si>
    <t>عباس</t>
  </si>
  <si>
    <t>عبدالرحمن</t>
  </si>
  <si>
    <t>ابوبكر</t>
  </si>
  <si>
    <t>عابدين</t>
  </si>
  <si>
    <t>الشئون الاداريه</t>
  </si>
  <si>
    <t>الماليه</t>
  </si>
  <si>
    <t>الصيانه</t>
  </si>
  <si>
    <t>المستودعات</t>
  </si>
  <si>
    <t>الموارد البشريه</t>
  </si>
  <si>
    <t>الحسابات الماليه</t>
  </si>
  <si>
    <t>الكهرباء</t>
  </si>
  <si>
    <t>الامن و الحركه</t>
  </si>
  <si>
    <t>الميكانيكا</t>
  </si>
  <si>
    <t>الخام</t>
  </si>
  <si>
    <t>المنتج الجاهز</t>
  </si>
  <si>
    <t>الحسابات</t>
  </si>
  <si>
    <t>محاسب</t>
  </si>
  <si>
    <t>تقني</t>
  </si>
  <si>
    <t>حسابات التكاليف</t>
  </si>
  <si>
    <t>Column1</t>
  </si>
  <si>
    <t>Sum of الاجازه</t>
  </si>
  <si>
    <t>Row Labels</t>
  </si>
  <si>
    <t>Grand Total</t>
  </si>
  <si>
    <t>الاورنيك</t>
  </si>
  <si>
    <t>المدير</t>
  </si>
  <si>
    <t>الكهرباء العامه</t>
  </si>
  <si>
    <t>الميكانيكا العامه</t>
  </si>
  <si>
    <t>البرمجه</t>
  </si>
  <si>
    <t>الامن</t>
  </si>
  <si>
    <t>الاسكلبات</t>
  </si>
  <si>
    <t>الميزان</t>
  </si>
  <si>
    <t>مدير اداره</t>
  </si>
  <si>
    <t>فرد امن</t>
  </si>
  <si>
    <t>مهندس</t>
  </si>
  <si>
    <t>مدخل بيانات</t>
  </si>
  <si>
    <t>امين ميزان</t>
  </si>
  <si>
    <t>Sum of الاورنيك</t>
  </si>
  <si>
    <t>الفرع</t>
  </si>
  <si>
    <t>مصنع تشكيل الحديد</t>
  </si>
  <si>
    <t>رئاسه الشركه</t>
  </si>
  <si>
    <t>السوداني الايطالي</t>
  </si>
  <si>
    <t>20 EENS</t>
  </si>
  <si>
    <t>40 EENS</t>
  </si>
  <si>
    <t>60 TEENS</t>
  </si>
  <si>
    <t>30 EENS</t>
  </si>
  <si>
    <t>50 TEES</t>
  </si>
  <si>
    <t>Count of الرقم</t>
  </si>
  <si>
    <t>Calculated Field</t>
  </si>
  <si>
    <t>Solve Order</t>
  </si>
  <si>
    <t>Field</t>
  </si>
  <si>
    <t>Formula</t>
  </si>
  <si>
    <t>Calculated Item</t>
  </si>
  <si>
    <t>Item</t>
  </si>
  <si>
    <t>Note:</t>
  </si>
  <si>
    <t>When a cell is updated by more than one formula,</t>
  </si>
  <si>
    <t>the value is set by the formula with the last solve order.</t>
  </si>
  <si>
    <t>To change the solve order for multiple calculated items or fields,</t>
  </si>
  <si>
    <t>on the Options tab, in the Calculations group, click Fields, Items, &amp; Sets, and then click Solve Order.</t>
  </si>
  <si>
    <t>adjust value</t>
  </si>
  <si>
    <t>scroll bar link</t>
  </si>
  <si>
    <t>hb</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</si>
</sst>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i/>
      <sz val="11"/>
      <color theme="1"/>
      <name val="Calibri"/>
      <family val="2"/>
      <scheme val="minor"/>
    </font>
    <font>
      <sz val="11"/>
      <color rgb="FFFF0000"/>
      <name val="Calibri"/>
      <family val="2"/>
      <scheme val="minor"/>
    </font>
    <font>
      <sz val="11"/>
      <color rgb="FF002060"/>
      <name val="Calibri"/>
      <family val="2"/>
      <scheme val="minor"/>
    </font>
  </fonts>
  <fills count="2">
    <fill>
      <patternFill patternType="none"/>
    </fill>
    <fill>
      <patternFill patternType="gray125"/>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n">
        <color indexed="8"/>
      </bottom>
      <diagonal/>
    </border>
  </borders>
  <cellStyleXfs count="1">
    <xf numFmtId="0" fontId="0" fillId="0" borderId="0"/>
  </cellStyleXfs>
  <cellXfs count="20">
    <xf numFmtId="0" fontId="0" fillId="0" borderId="0" xfId="0"/>
    <xf numFmtId="0" fontId="0" fillId="0" borderId="0" xfId="0" pivotButton="1"/>
    <xf numFmtId="0" fontId="0" fillId="0" borderId="0" xfId="0" applyNumberFormat="1"/>
    <xf numFmtId="0" fontId="0" fillId="0" borderId="0" xfId="0" applyAlignment="1">
      <alignment horizontal="left"/>
    </xf>
    <xf numFmtId="0" fontId="0" fillId="0" borderId="2" xfId="0"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4" xfId="0" applyBorder="1" applyAlignment="1">
      <alignment horizontal="center" vertical="center"/>
    </xf>
    <xf numFmtId="0" fontId="0" fillId="0" borderId="5" xfId="0" applyFill="1" applyBorder="1" applyAlignment="1">
      <alignment horizontal="center" vertical="center"/>
    </xf>
    <xf numFmtId="0" fontId="0" fillId="0" borderId="6" xfId="0" applyFill="1" applyBorder="1" applyAlignment="1">
      <alignment horizontal="center" vertical="center"/>
    </xf>
    <xf numFmtId="0" fontId="2" fillId="0" borderId="0" xfId="0" applyFont="1"/>
    <xf numFmtId="0" fontId="1" fillId="0" borderId="10" xfId="0" applyFont="1" applyBorder="1"/>
    <xf numFmtId="0" fontId="3" fillId="0" borderId="0" xfId="0" applyFont="1"/>
    <xf numFmtId="0" fontId="4" fillId="0" borderId="0" xfId="0" applyFont="1"/>
    <xf numFmtId="0" fontId="0" fillId="0" borderId="0" xfId="0" applyAlignment="1">
      <alignment horizontal="center" vertical="center"/>
    </xf>
    <xf numFmtId="0" fontId="0" fillId="0" borderId="0" xfId="0" applyNumberFormat="1" applyAlignment="1">
      <alignment horizontal="center" vertical="center"/>
    </xf>
  </cellXfs>
  <cellStyles count="1">
    <cellStyle name="Normal" xfId="0" builtinId="0"/>
  </cellStyles>
  <dxfs count="28">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numFmt numFmtId="0" formatCode="General"/>
      <alignment horizontal="center" vertical="center" textRotation="0" wrapText="0" indent="0" justifyLastLine="0" shrinkToFit="0" readingOrder="0"/>
      <border diagonalUp="0" diagonalDown="0" outline="0">
        <left style="thin">
          <color indexed="64"/>
        </left>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alignment vertical="center" readingOrder="0"/>
    </dxf>
    <dxf>
      <alignment horizontal="center" readingOrder="0"/>
    </dxf>
    <dxf>
      <alignment vertical="center" readingOrder="0"/>
    </dxf>
    <dxf>
      <alignment horizontal="center" readingOrder="0"/>
    </dxf>
    <dxf>
      <alignment horizontal="center" readingOrder="0"/>
    </dxf>
    <dxf>
      <alignment vertical="center" readingOrder="0"/>
    </dxf>
    <dxf>
      <alignment horizontal="center" readingOrder="0"/>
    </dxf>
    <dxf>
      <alignment vertical="center" readingOrder="0"/>
    </dxf>
    <dxf>
      <alignment vertical="center" readingOrder="0"/>
    </dxf>
    <dxf>
      <alignment horizontal="center" readingOrder="0"/>
    </dxf>
    <dxf>
      <alignment vertical="center" readingOrder="0"/>
    </dxf>
    <dxf>
      <alignment horizontal="center" readingOrder="0"/>
    </dxf>
  </dxfs>
  <tableStyles count="1" defaultTableStyle="TableStyleMedium2" defaultPivotStyle="PivotStyleLight16">
    <tableStyle name="PivotTable Style 1"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5.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[gf.xlsm]calc!PivotTable1</c:name>
    <c:fmtId val="2"/>
  </c:pivotSource>
  <c:chart>
    <c:autoTitleDeleted val="1"/>
    <c:pivotFmts>
      <c:pivotFmt>
        <c:idx val="0"/>
      </c:pivotFmt>
      <c:pivotFmt>
        <c:idx val="1"/>
      </c:pivotFmt>
      <c:pivotFmt>
        <c:idx val="2"/>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pivotFmt>
      <c:pivotFmt>
        <c:idx val="6"/>
        <c:spPr>
          <a:solidFill>
            <a:schemeClr val="accent2"/>
          </a:solidFill>
          <a:ln w="19050">
            <a:solidFill>
              <a:schemeClr val="lt1"/>
            </a:solidFill>
          </a:ln>
          <a:effectLst/>
        </c:spPr>
      </c:pivotFmt>
    </c:pivotFmts>
    <c:plotArea>
      <c:layout/>
      <c:pieChart>
        <c:varyColors val="1"/>
        <c:ser>
          <c:idx val="0"/>
          <c:order val="0"/>
          <c:tx>
            <c:strRef>
              <c:f>calc!$B$3</c:f>
              <c:strCache>
                <c:ptCount val="1"/>
                <c:pt idx="0">
                  <c:v>Total</c:v>
                </c:pt>
              </c:strCache>
            </c:strRef>
          </c:tx>
          <c:dPt>
            <c:idx val="0"/>
            <c:bubble3D val="0"/>
            <c:spPr>
              <a:solidFill>
                <a:schemeClr val="accent2"/>
              </a:solidFill>
              <a:ln w="19050">
                <a:solidFill>
                  <a:schemeClr val="lt1"/>
                </a:solidFill>
              </a:ln>
              <a:effectLst/>
            </c:spPr>
          </c:dPt>
          <c:dPt>
            <c:idx val="1"/>
            <c:bubble3D val="0"/>
            <c:spPr>
              <a:solidFill>
                <a:schemeClr val="accent4"/>
              </a:solidFill>
              <a:ln w="19050">
                <a:solidFill>
                  <a:schemeClr val="lt1"/>
                </a:solidFill>
              </a:ln>
              <a:effectLst/>
            </c:spPr>
          </c:dPt>
          <c:dPt>
            <c:idx val="2"/>
            <c:bubble3D val="0"/>
            <c:spPr>
              <a:solidFill>
                <a:schemeClr val="accent6"/>
              </a:solidFill>
              <a:ln w="19050">
                <a:solidFill>
                  <a:schemeClr val="lt1"/>
                </a:solidFill>
              </a:ln>
              <a:effectLst/>
            </c:spPr>
          </c:dPt>
          <c:dPt>
            <c:idx val="3"/>
            <c:bubble3D val="0"/>
            <c:spPr>
              <a:solidFill>
                <a:schemeClr val="accent2">
                  <a:lumMod val="6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calc!$A$4:$A$7</c:f>
              <c:strCache>
                <c:ptCount val="4"/>
                <c:pt idx="0">
                  <c:v>الشئون الاداريه</c:v>
                </c:pt>
                <c:pt idx="1">
                  <c:v>الصيانه</c:v>
                </c:pt>
                <c:pt idx="2">
                  <c:v>الماليه</c:v>
                </c:pt>
                <c:pt idx="3">
                  <c:v>المستودعات</c:v>
                </c:pt>
              </c:strCache>
            </c:strRef>
          </c:cat>
          <c:val>
            <c:numRef>
              <c:f>calc!$B$4:$B$7</c:f>
              <c:numCache>
                <c:formatCode>General</c:formatCode>
                <c:ptCount val="4"/>
                <c:pt idx="0">
                  <c:v>7</c:v>
                </c:pt>
                <c:pt idx="1">
                  <c:v>29</c:v>
                </c:pt>
                <c:pt idx="2">
                  <c:v>11</c:v>
                </c:pt>
                <c:pt idx="3">
                  <c:v>15</c:v>
                </c:pt>
              </c:numCache>
            </c:numRef>
          </c:val>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[gf.xlsm]calc!PivotTable2</c:name>
    <c:fmtId val="2"/>
  </c:pivotSource>
  <c:chart>
    <c:autoTitleDeleted val="1"/>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calc!$H$5</c:f>
              <c:strCache>
                <c:ptCount val="1"/>
                <c:pt idx="0">
                  <c:v>Sum of الاجازه</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calc!$G$6:$G$12</c:f>
              <c:strCache>
                <c:ptCount val="7"/>
                <c:pt idx="0">
                  <c:v>المنتج الجاهز</c:v>
                </c:pt>
                <c:pt idx="1">
                  <c:v>الموارد البشريه</c:v>
                </c:pt>
                <c:pt idx="2">
                  <c:v>الامن و الحركه</c:v>
                </c:pt>
                <c:pt idx="3">
                  <c:v>الحسابات</c:v>
                </c:pt>
                <c:pt idx="4">
                  <c:v>الخام</c:v>
                </c:pt>
                <c:pt idx="5">
                  <c:v>الكهرباء</c:v>
                </c:pt>
                <c:pt idx="6">
                  <c:v>الميكانيكا</c:v>
                </c:pt>
              </c:strCache>
            </c:strRef>
          </c:cat>
          <c:val>
            <c:numRef>
              <c:f>calc!$H$6:$H$12</c:f>
              <c:numCache>
                <c:formatCode>General</c:formatCode>
                <c:ptCount val="7"/>
                <c:pt idx="0">
                  <c:v>3</c:v>
                </c:pt>
                <c:pt idx="1">
                  <c:v>3</c:v>
                </c:pt>
                <c:pt idx="2">
                  <c:v>4</c:v>
                </c:pt>
                <c:pt idx="3">
                  <c:v>11</c:v>
                </c:pt>
                <c:pt idx="4">
                  <c:v>12</c:v>
                </c:pt>
                <c:pt idx="5">
                  <c:v>14</c:v>
                </c:pt>
                <c:pt idx="6">
                  <c:v>15</c:v>
                </c:pt>
              </c:numCache>
            </c:numRef>
          </c:val>
        </c:ser>
        <c:ser>
          <c:idx val="1"/>
          <c:order val="1"/>
          <c:tx>
            <c:strRef>
              <c:f>calc!$I$5</c:f>
              <c:strCache>
                <c:ptCount val="1"/>
                <c:pt idx="0">
                  <c:v>Sum of الاورنيك</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calc!$G$6:$G$12</c:f>
              <c:strCache>
                <c:ptCount val="7"/>
                <c:pt idx="0">
                  <c:v>المنتج الجاهز</c:v>
                </c:pt>
                <c:pt idx="1">
                  <c:v>الموارد البشريه</c:v>
                </c:pt>
                <c:pt idx="2">
                  <c:v>الامن و الحركه</c:v>
                </c:pt>
                <c:pt idx="3">
                  <c:v>الحسابات</c:v>
                </c:pt>
                <c:pt idx="4">
                  <c:v>الخام</c:v>
                </c:pt>
                <c:pt idx="5">
                  <c:v>الكهرباء</c:v>
                </c:pt>
                <c:pt idx="6">
                  <c:v>الميكانيكا</c:v>
                </c:pt>
              </c:strCache>
            </c:strRef>
          </c:cat>
          <c:val>
            <c:numRef>
              <c:f>calc!$I$6:$I$12</c:f>
              <c:numCache>
                <c:formatCode>General</c:formatCode>
                <c:ptCount val="7"/>
                <c:pt idx="0">
                  <c:v>2</c:v>
                </c:pt>
                <c:pt idx="1">
                  <c:v>1</c:v>
                </c:pt>
                <c:pt idx="2">
                  <c:v>7</c:v>
                </c:pt>
                <c:pt idx="3">
                  <c:v>5</c:v>
                </c:pt>
                <c:pt idx="4">
                  <c:v>1</c:v>
                </c:pt>
                <c:pt idx="5">
                  <c:v>6</c:v>
                </c:pt>
                <c:pt idx="6">
                  <c:v>1</c:v>
                </c:pt>
              </c:numCache>
            </c:numRef>
          </c:val>
        </c:ser>
        <c:dLbls>
          <c:showLegendKey val="0"/>
          <c:showVal val="0"/>
          <c:showCatName val="0"/>
          <c:showSerName val="0"/>
          <c:showPercent val="0"/>
          <c:showBubbleSize val="0"/>
        </c:dLbls>
        <c:gapWidth val="115"/>
        <c:overlap val="-20"/>
        <c:axId val="178632256"/>
        <c:axId val="178630688"/>
      </c:barChart>
      <c:catAx>
        <c:axId val="178632256"/>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630688"/>
        <c:crosses val="autoZero"/>
        <c:auto val="1"/>
        <c:lblAlgn val="ctr"/>
        <c:lblOffset val="100"/>
        <c:noMultiLvlLbl val="0"/>
      </c:catAx>
      <c:valAx>
        <c:axId val="1786306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6322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Scroll" dx="31" fmlaLink="calc!$L$9" max="7" min="1" page="0" val="3"/>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184150</xdr:colOff>
      <xdr:row>5</xdr:row>
      <xdr:rowOff>63501</xdr:rowOff>
    </xdr:from>
    <xdr:to>
      <xdr:col>3</xdr:col>
      <xdr:colOff>318044</xdr:colOff>
      <xdr:row>10</xdr:row>
      <xdr:rowOff>88900</xdr:rowOff>
    </xdr:to>
    <mc:AlternateContent xmlns:mc="http://schemas.openxmlformats.org/markup-compatibility/2006" xmlns:a14="http://schemas.microsoft.com/office/drawing/2010/main">
      <mc:Choice Requires="a14">
        <xdr:graphicFrame macro="">
          <xdr:nvGraphicFramePr>
            <xdr:cNvPr id="2" name="الاداره  1"/>
            <xdr:cNvGraphicFramePr/>
          </xdr:nvGraphicFramePr>
          <xdr:xfrm>
            <a:off x="0" y="0"/>
            <a:ext cx="0" cy="0"/>
          </xdr:xfrm>
          <a:graphic>
            <a:graphicData uri="http://schemas.microsoft.com/office/drawing/2010/slicer">
              <sle:slicer xmlns:sle="http://schemas.microsoft.com/office/drawing/2010/slicer" name="الاداره  1"/>
            </a:graphicData>
          </a:graphic>
        </xdr:graphicFrame>
      </mc:Choice>
      <mc:Fallback xmlns="">
        <xdr:sp macro="" textlink="">
          <xdr:nvSpPr>
            <xdr:cNvPr id="0" name=""/>
            <xdr:cNvSpPr>
              <a:spLocks noTextEdit="1"/>
            </xdr:cNvSpPr>
          </xdr:nvSpPr>
          <xdr:spPr>
            <a:xfrm>
              <a:off x="184150" y="979366"/>
              <a:ext cx="2002259" cy="9412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183906</xdr:colOff>
      <xdr:row>26</xdr:row>
      <xdr:rowOff>134329</xdr:rowOff>
    </xdr:from>
    <xdr:to>
      <xdr:col>3</xdr:col>
      <xdr:colOff>317800</xdr:colOff>
      <xdr:row>33</xdr:row>
      <xdr:rowOff>73269</xdr:rowOff>
    </xdr:to>
    <mc:AlternateContent xmlns:mc="http://schemas.openxmlformats.org/markup-compatibility/2006" xmlns:a14="http://schemas.microsoft.com/office/drawing/2010/main">
      <mc:Choice Requires="a14">
        <xdr:graphicFrame macro="">
          <xdr:nvGraphicFramePr>
            <xdr:cNvPr id="3" name="الوظيفه"/>
            <xdr:cNvGraphicFramePr/>
          </xdr:nvGraphicFramePr>
          <xdr:xfrm>
            <a:off x="0" y="0"/>
            <a:ext cx="0" cy="0"/>
          </xdr:xfrm>
          <a:graphic>
            <a:graphicData uri="http://schemas.microsoft.com/office/drawing/2010/slicer">
              <sle:slicer xmlns:sle="http://schemas.microsoft.com/office/drawing/2010/slicer" name="الوظيفه"/>
            </a:graphicData>
          </a:graphic>
        </xdr:graphicFrame>
      </mc:Choice>
      <mc:Fallback xmlns="">
        <xdr:sp macro="" textlink="">
          <xdr:nvSpPr>
            <xdr:cNvPr id="0" name=""/>
            <xdr:cNvSpPr>
              <a:spLocks noTextEdit="1"/>
            </xdr:cNvSpPr>
          </xdr:nvSpPr>
          <xdr:spPr>
            <a:xfrm>
              <a:off x="183906" y="4896829"/>
              <a:ext cx="2002259" cy="12211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184150</xdr:colOff>
      <xdr:row>10</xdr:row>
      <xdr:rowOff>120651</xdr:rowOff>
    </xdr:from>
    <xdr:to>
      <xdr:col>3</xdr:col>
      <xdr:colOff>318044</xdr:colOff>
      <xdr:row>19</xdr:row>
      <xdr:rowOff>73270</xdr:rowOff>
    </xdr:to>
    <mc:AlternateContent xmlns:mc="http://schemas.openxmlformats.org/markup-compatibility/2006" xmlns:a14="http://schemas.microsoft.com/office/drawing/2010/main">
      <mc:Choice Requires="a14">
        <xdr:graphicFrame macro="">
          <xdr:nvGraphicFramePr>
            <xdr:cNvPr id="4" name="القسم"/>
            <xdr:cNvGraphicFramePr/>
          </xdr:nvGraphicFramePr>
          <xdr:xfrm>
            <a:off x="0" y="0"/>
            <a:ext cx="0" cy="0"/>
          </xdr:xfrm>
          <a:graphic>
            <a:graphicData uri="http://schemas.microsoft.com/office/drawing/2010/slicer">
              <sle:slicer xmlns:sle="http://schemas.microsoft.com/office/drawing/2010/slicer" name="القسم"/>
            </a:graphicData>
          </a:graphic>
        </xdr:graphicFrame>
      </mc:Choice>
      <mc:Fallback xmlns="">
        <xdr:sp macro="" textlink="">
          <xdr:nvSpPr>
            <xdr:cNvPr id="0" name=""/>
            <xdr:cNvSpPr>
              <a:spLocks noTextEdit="1"/>
            </xdr:cNvSpPr>
          </xdr:nvSpPr>
          <xdr:spPr>
            <a:xfrm>
              <a:off x="184150" y="1952382"/>
              <a:ext cx="2002259" cy="1601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177800</xdr:colOff>
      <xdr:row>0</xdr:row>
      <xdr:rowOff>50801</xdr:rowOff>
    </xdr:from>
    <xdr:to>
      <xdr:col>3</xdr:col>
      <xdr:colOff>311694</xdr:colOff>
      <xdr:row>5</xdr:row>
      <xdr:rowOff>44450</xdr:rowOff>
    </xdr:to>
    <mc:AlternateContent xmlns:mc="http://schemas.openxmlformats.org/markup-compatibility/2006" xmlns:a14="http://schemas.microsoft.com/office/drawing/2010/main">
      <mc:Choice Requires="a14">
        <xdr:graphicFrame macro="">
          <xdr:nvGraphicFramePr>
            <xdr:cNvPr id="6" name="الفرع"/>
            <xdr:cNvGraphicFramePr/>
          </xdr:nvGraphicFramePr>
          <xdr:xfrm>
            <a:off x="0" y="0"/>
            <a:ext cx="0" cy="0"/>
          </xdr:xfrm>
          <a:graphic>
            <a:graphicData uri="http://schemas.microsoft.com/office/drawing/2010/slicer">
              <sle:slicer xmlns:sle="http://schemas.microsoft.com/office/drawing/2010/slicer" name="الفرع"/>
            </a:graphicData>
          </a:graphic>
        </xdr:graphicFrame>
      </mc:Choice>
      <mc:Fallback xmlns="">
        <xdr:sp macro="" textlink="">
          <xdr:nvSpPr>
            <xdr:cNvPr id="0" name=""/>
            <xdr:cNvSpPr>
              <a:spLocks noTextEdit="1"/>
            </xdr:cNvSpPr>
          </xdr:nvSpPr>
          <xdr:spPr>
            <a:xfrm>
              <a:off x="177800" y="50801"/>
              <a:ext cx="2002259" cy="9095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190256</xdr:colOff>
      <xdr:row>19</xdr:row>
      <xdr:rowOff>146051</xdr:rowOff>
    </xdr:from>
    <xdr:to>
      <xdr:col>3</xdr:col>
      <xdr:colOff>324150</xdr:colOff>
      <xdr:row>26</xdr:row>
      <xdr:rowOff>79374</xdr:rowOff>
    </xdr:to>
    <mc:AlternateContent xmlns:mc="http://schemas.openxmlformats.org/markup-compatibility/2006" xmlns:a14="http://schemas.microsoft.com/office/drawing/2010/main">
      <mc:Choice Requires="a14">
        <xdr:graphicFrame macro="">
          <xdr:nvGraphicFramePr>
            <xdr:cNvPr id="7" name="الوحده"/>
            <xdr:cNvGraphicFramePr/>
          </xdr:nvGraphicFramePr>
          <xdr:xfrm>
            <a:off x="0" y="0"/>
            <a:ext cx="0" cy="0"/>
          </xdr:xfrm>
          <a:graphic>
            <a:graphicData uri="http://schemas.microsoft.com/office/drawing/2010/slicer">
              <sle:slicer xmlns:sle="http://schemas.microsoft.com/office/drawing/2010/slicer" name="الوحده"/>
            </a:graphicData>
          </a:graphic>
        </xdr:graphicFrame>
      </mc:Choice>
      <mc:Fallback xmlns="">
        <xdr:sp macro="" textlink="">
          <xdr:nvSpPr>
            <xdr:cNvPr id="0" name=""/>
            <xdr:cNvSpPr>
              <a:spLocks noTextEdit="1"/>
            </xdr:cNvSpPr>
          </xdr:nvSpPr>
          <xdr:spPr>
            <a:xfrm>
              <a:off x="190256" y="3626339"/>
              <a:ext cx="2002259" cy="12155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558800</xdr:colOff>
      <xdr:row>0</xdr:row>
      <xdr:rowOff>63500</xdr:rowOff>
    </xdr:from>
    <xdr:to>
      <xdr:col>11</xdr:col>
      <xdr:colOff>6106</xdr:colOff>
      <xdr:row>15</xdr:row>
      <xdr:rowOff>44450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293077</xdr:colOff>
      <xdr:row>15</xdr:row>
      <xdr:rowOff>95250</xdr:rowOff>
    </xdr:from>
    <xdr:to>
      <xdr:col>11</xdr:col>
      <xdr:colOff>12212</xdr:colOff>
      <xdr:row>30</xdr:row>
      <xdr:rowOff>76200</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336549</xdr:colOff>
      <xdr:row>1</xdr:row>
      <xdr:rowOff>12700</xdr:rowOff>
    </xdr:from>
    <xdr:to>
      <xdr:col>12</xdr:col>
      <xdr:colOff>561974</xdr:colOff>
      <xdr:row>3</xdr:row>
      <xdr:rowOff>10160</xdr:rowOff>
    </xdr:to>
    <xdr:grpSp>
      <xdr:nvGrpSpPr>
        <xdr:cNvPr id="12" name="Group 11"/>
        <xdr:cNvGrpSpPr/>
      </xdr:nvGrpSpPr>
      <xdr:grpSpPr>
        <a:xfrm>
          <a:off x="7187222" y="195873"/>
          <a:ext cx="848214" cy="363806"/>
          <a:chOff x="7238999" y="203200"/>
          <a:chExt cx="822325" cy="365760"/>
        </a:xfrm>
        <a:noFill/>
      </xdr:grpSpPr>
      <xdr:sp macro="" textlink="calc!D14">
        <xdr:nvSpPr>
          <xdr:cNvPr id="15" name="Rectangle 14"/>
          <xdr:cNvSpPr/>
        </xdr:nvSpPr>
        <xdr:spPr>
          <a:xfrm>
            <a:off x="7238999" y="203200"/>
            <a:ext cx="822325" cy="182880"/>
          </a:xfrm>
          <a:prstGeom prst="rect">
            <a:avLst/>
          </a:prstGeom>
          <a:grpFill/>
          <a:ln>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fld id="{2BAEE8FA-CA67-4FA0-92E6-BB8F8694D892}" type="TxLink">
              <a:rPr lang="en-US" sz="1100" b="0" i="0" u="none" strike="noStrike">
                <a:solidFill>
                  <a:srgbClr val="FF0000"/>
                </a:solidFill>
                <a:latin typeface="Calibri"/>
              </a:rPr>
              <a:pPr algn="ctr"/>
              <a:t>23</a:t>
            </a:fld>
            <a:endParaRPr lang="en-US" sz="1100">
              <a:solidFill>
                <a:srgbClr val="FF0000"/>
              </a:solidFill>
            </a:endParaRPr>
          </a:p>
        </xdr:txBody>
      </xdr:sp>
      <xdr:sp macro="" textlink="">
        <xdr:nvSpPr>
          <xdr:cNvPr id="16" name="Rectangle 15"/>
          <xdr:cNvSpPr/>
        </xdr:nvSpPr>
        <xdr:spPr>
          <a:xfrm>
            <a:off x="7284401" y="401203"/>
            <a:ext cx="731520" cy="167757"/>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ar-SA" sz="1100">
                <a:solidFill>
                  <a:schemeClr val="bg1">
                    <a:lumMod val="65000"/>
                  </a:schemeClr>
                </a:solidFill>
              </a:rPr>
              <a:t>الارانيك</a:t>
            </a:r>
            <a:endParaRPr lang="en-US" sz="1100">
              <a:solidFill>
                <a:schemeClr val="bg1">
                  <a:lumMod val="65000"/>
                </a:schemeClr>
              </a:solidFill>
            </a:endParaRPr>
          </a:p>
        </xdr:txBody>
      </xdr:sp>
    </xdr:grpSp>
    <xdr:clientData/>
  </xdr:twoCellAnchor>
  <xdr:twoCellAnchor>
    <xdr:from>
      <xdr:col>12</xdr:col>
      <xdr:colOff>387350</xdr:colOff>
      <xdr:row>1</xdr:row>
      <xdr:rowOff>6349</xdr:rowOff>
    </xdr:from>
    <xdr:to>
      <xdr:col>13</xdr:col>
      <xdr:colOff>509270</xdr:colOff>
      <xdr:row>3</xdr:row>
      <xdr:rowOff>3810</xdr:rowOff>
    </xdr:to>
    <xdr:grpSp>
      <xdr:nvGrpSpPr>
        <xdr:cNvPr id="13" name="Group 12"/>
        <xdr:cNvGrpSpPr/>
      </xdr:nvGrpSpPr>
      <xdr:grpSpPr>
        <a:xfrm>
          <a:off x="7860812" y="189522"/>
          <a:ext cx="744708" cy="363807"/>
          <a:chOff x="8108950" y="190499"/>
          <a:chExt cx="731520" cy="365761"/>
        </a:xfrm>
        <a:noFill/>
      </xdr:grpSpPr>
      <xdr:sp macro="" textlink="calc!K6">
        <xdr:nvSpPr>
          <xdr:cNvPr id="5" name="Rectangle 4"/>
          <xdr:cNvSpPr/>
        </xdr:nvSpPr>
        <xdr:spPr>
          <a:xfrm>
            <a:off x="8108950" y="190499"/>
            <a:ext cx="731520" cy="182880"/>
          </a:xfrm>
          <a:prstGeom prst="rect">
            <a:avLst/>
          </a:prstGeom>
          <a:grpFill/>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BD69FB4F-8748-4642-92F1-579419DCCC75}" type="TxLink">
              <a:rPr lang="en-US" sz="1100" b="0" i="0" u="none" strike="noStrike">
                <a:solidFill>
                  <a:srgbClr val="0070C0"/>
                </a:solidFill>
                <a:latin typeface="Calibri"/>
              </a:rPr>
              <a:pPr algn="ctr"/>
              <a:t>62</a:t>
            </a:fld>
            <a:endParaRPr lang="en-US" sz="1100">
              <a:solidFill>
                <a:srgbClr val="0070C0"/>
              </a:solidFill>
            </a:endParaRPr>
          </a:p>
        </xdr:txBody>
      </xdr:sp>
      <xdr:sp macro="" textlink="">
        <xdr:nvSpPr>
          <xdr:cNvPr id="10" name="Rectangle 9"/>
          <xdr:cNvSpPr/>
        </xdr:nvSpPr>
        <xdr:spPr>
          <a:xfrm>
            <a:off x="8146146" y="388208"/>
            <a:ext cx="657128" cy="168052"/>
          </a:xfrm>
          <a:prstGeom prst="rect">
            <a:avLst/>
          </a:prstGeom>
          <a:grpFill/>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ar-SA" sz="1100">
                <a:solidFill>
                  <a:schemeClr val="bg1">
                    <a:lumMod val="65000"/>
                  </a:schemeClr>
                </a:solidFill>
              </a:rPr>
              <a:t>الاجازات</a:t>
            </a:r>
            <a:endParaRPr lang="en-US" sz="1100">
              <a:solidFill>
                <a:schemeClr val="bg1">
                  <a:lumMod val="65000"/>
                </a:schemeClr>
              </a:solidFill>
            </a:endParaRPr>
          </a:p>
        </xdr:txBody>
      </xdr:sp>
    </xdr:grpSp>
    <xdr:clientData/>
  </xdr:twoCellAnchor>
  <mc:AlternateContent xmlns:mc="http://schemas.openxmlformats.org/markup-compatibility/2006">
    <mc:Choice xmlns:a14="http://schemas.microsoft.com/office/drawing/2010/main" Requires="a14">
      <xdr:twoCellAnchor editAs="oneCell">
        <xdr:from>
          <xdr:col>3</xdr:col>
          <xdr:colOff>565150</xdr:colOff>
          <xdr:row>15</xdr:row>
          <xdr:rowOff>107950</xdr:rowOff>
        </xdr:from>
        <xdr:to>
          <xdr:col>4</xdr:col>
          <xdr:colOff>158750</xdr:colOff>
          <xdr:row>30</xdr:row>
          <xdr:rowOff>76200</xdr:rowOff>
        </xdr:to>
        <xdr:sp macro="" textlink="">
          <xdr:nvSpPr>
            <xdr:cNvPr id="2049" name="Scroll Bar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OHAMMED ALI" refreshedDate="43883.623733564818" createdVersion="5" refreshedVersion="5" minRefreshableVersion="3" recordCount="10">
  <cacheSource type="worksheet">
    <worksheetSource name="Table1"/>
  </cacheSource>
  <cacheFields count="11">
    <cacheField name="الرقم" numFmtId="0">
      <sharedItems containsSemiMixedTypes="0" containsString="0" containsNumber="1" containsInteger="1" minValue="1" maxValue="10"/>
    </cacheField>
    <cacheField name="الاسم" numFmtId="0">
      <sharedItems/>
    </cacheField>
    <cacheField name="الفرع" numFmtId="0">
      <sharedItems count="3">
        <s v="مصنع تشكيل الحديد"/>
        <s v="رئاسه الشركه"/>
        <s v="السوداني الايطالي"/>
      </sharedItems>
    </cacheField>
    <cacheField name="الاداره " numFmtId="0">
      <sharedItems count="4">
        <s v="الشئون الاداريه"/>
        <s v="الماليه"/>
        <s v="الصيانه"/>
        <s v="المستودعات"/>
      </sharedItems>
    </cacheField>
    <cacheField name="القسم" numFmtId="0">
      <sharedItems count="7">
        <s v="الموارد البشريه"/>
        <s v="الحسابات"/>
        <s v="الكهرباء"/>
        <s v="الامن و الحركه"/>
        <s v="الميكانيكا"/>
        <s v="الخام"/>
        <s v="المنتج الجاهز"/>
      </sharedItems>
    </cacheField>
    <cacheField name="الوحده" numFmtId="0">
      <sharedItems count="9">
        <s v="المدير"/>
        <s v="الحسابات الماليه"/>
        <s v="الكهرباء العامه"/>
        <s v="حسابات التكاليف"/>
        <s v="البرمجه"/>
        <s v="الامن"/>
        <s v="الميكانيكا العامه"/>
        <s v="الاسكلبات"/>
        <s v="الميزان"/>
      </sharedItems>
    </cacheField>
    <cacheField name="الوظيفه" numFmtId="0">
      <sharedItems count="7">
        <s v="مدير اداره"/>
        <s v="محاسب"/>
        <s v="تقني"/>
        <s v="فرد امن"/>
        <s v="مهندس"/>
        <s v="مدخل بيانات"/>
        <s v="امين ميزان"/>
      </sharedItems>
    </cacheField>
    <cacheField name="العمر" numFmtId="0">
      <sharedItems containsSemiMixedTypes="0" containsString="0" containsNumber="1" containsInteger="1" minValue="25" maxValue="60"/>
    </cacheField>
    <cacheField name="Column1" numFmtId="0">
      <sharedItems/>
    </cacheField>
    <cacheField name="الاجازه" numFmtId="0">
      <sharedItems containsSemiMixedTypes="0" containsString="0" containsNumber="1" containsInteger="1" minValue="2" maxValue="15"/>
    </cacheField>
    <cacheField name="الاورنيك" numFmtId="0">
      <sharedItems containsSemiMixedTypes="0" containsString="0" containsNumber="1" containsInteger="1" minValue="0" maxValue="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
  <r>
    <n v="1"/>
    <s v="محمد على"/>
    <x v="0"/>
    <x v="0"/>
    <x v="0"/>
    <x v="0"/>
    <x v="0"/>
    <n v="40"/>
    <s v="40 EENS"/>
    <n v="3"/>
    <n v="1"/>
  </r>
  <r>
    <n v="2"/>
    <s v="ماون"/>
    <x v="1"/>
    <x v="1"/>
    <x v="1"/>
    <x v="1"/>
    <x v="1"/>
    <n v="27"/>
    <s v="20 EENS"/>
    <n v="3"/>
    <n v="5"/>
  </r>
  <r>
    <n v="3"/>
    <s v="حسين"/>
    <x v="2"/>
    <x v="2"/>
    <x v="2"/>
    <x v="2"/>
    <x v="2"/>
    <n v="30"/>
    <s v="30 EENS"/>
    <n v="5"/>
    <n v="1"/>
  </r>
  <r>
    <n v="4"/>
    <s v="امين"/>
    <x v="0"/>
    <x v="1"/>
    <x v="1"/>
    <x v="3"/>
    <x v="1"/>
    <n v="50"/>
    <s v="50 TEES"/>
    <n v="8"/>
    <n v="0"/>
  </r>
  <r>
    <n v="5"/>
    <s v="عادل"/>
    <x v="0"/>
    <x v="2"/>
    <x v="2"/>
    <x v="4"/>
    <x v="2"/>
    <n v="53"/>
    <s v="50 TEES"/>
    <n v="2"/>
    <n v="2"/>
  </r>
  <r>
    <n v="6"/>
    <s v="كمال"/>
    <x v="1"/>
    <x v="0"/>
    <x v="3"/>
    <x v="5"/>
    <x v="3"/>
    <n v="60"/>
    <s v="60 TEENS"/>
    <n v="4"/>
    <n v="7"/>
  </r>
  <r>
    <n v="7"/>
    <s v="عباس"/>
    <x v="2"/>
    <x v="2"/>
    <x v="2"/>
    <x v="2"/>
    <x v="2"/>
    <n v="45"/>
    <s v="40 EENS"/>
    <n v="7"/>
    <n v="3"/>
  </r>
  <r>
    <n v="8"/>
    <s v="عبدالرحمن"/>
    <x v="0"/>
    <x v="2"/>
    <x v="4"/>
    <x v="6"/>
    <x v="4"/>
    <n v="33"/>
    <s v="30 EENS"/>
    <n v="15"/>
    <n v="1"/>
  </r>
  <r>
    <n v="9"/>
    <s v="ابوبكر"/>
    <x v="0"/>
    <x v="3"/>
    <x v="5"/>
    <x v="7"/>
    <x v="5"/>
    <n v="42"/>
    <s v="40 EENS"/>
    <n v="12"/>
    <n v="1"/>
  </r>
  <r>
    <n v="10"/>
    <s v="عابدين"/>
    <x v="0"/>
    <x v="3"/>
    <x v="6"/>
    <x v="8"/>
    <x v="6"/>
    <n v="25"/>
    <s v="20 EENS"/>
    <n v="3"/>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الاجازه"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P12:Q16" firstHeaderRow="1" firstDataRow="1" firstDataCol="1"/>
  <pivotFields count="11">
    <pivotField dataField="1" showAll="0"/>
    <pivotField showAll="0"/>
    <pivotField axis="axisRow" showAll="0" defaultSubtotal="0">
      <items count="3">
        <item x="2"/>
        <item x="1"/>
        <item x="0"/>
      </items>
    </pivotField>
    <pivotField showAll="0">
      <items count="5">
        <item x="0"/>
        <item x="2"/>
        <item x="1"/>
        <item x="3"/>
        <item t="default"/>
      </items>
    </pivotField>
    <pivotField showAll="0">
      <items count="8">
        <item x="3"/>
        <item x="1"/>
        <item x="5"/>
        <item x="2"/>
        <item x="6"/>
        <item x="0"/>
        <item x="4"/>
        <item t="default"/>
      </items>
    </pivotField>
    <pivotField showAll="0">
      <items count="10">
        <item x="7"/>
        <item x="5"/>
        <item x="4"/>
        <item x="1"/>
        <item x="2"/>
        <item x="0"/>
        <item x="8"/>
        <item x="6"/>
        <item x="3"/>
        <item t="default"/>
      </items>
    </pivotField>
    <pivotField showAll="0">
      <items count="8">
        <item x="6"/>
        <item x="2"/>
        <item x="3"/>
        <item x="1"/>
        <item x="5"/>
        <item x="0"/>
        <item x="4"/>
        <item t="default"/>
      </items>
    </pivotField>
    <pivotField showAll="0"/>
    <pivotField showAll="0"/>
    <pivotField showAll="0"/>
    <pivotField showAll="0"/>
  </pivotFields>
  <rowFields count="1">
    <field x="2"/>
  </rowFields>
  <rowItems count="4">
    <i>
      <x/>
    </i>
    <i>
      <x v="1"/>
    </i>
    <i>
      <x v="2"/>
    </i>
    <i t="grand">
      <x/>
    </i>
  </rowItems>
  <colItems count="1">
    <i/>
  </colItems>
  <dataFields count="1">
    <dataField name="Count of الرقم"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12">
  <location ref="G5:I12" firstHeaderRow="0" firstDataRow="1" firstDataCol="1"/>
  <pivotFields count="11">
    <pivotField showAll="0"/>
    <pivotField showAll="0"/>
    <pivotField showAll="0" defaultSubtotal="0">
      <items count="3">
        <item x="2"/>
        <item x="1"/>
        <item x="0"/>
      </items>
    </pivotField>
    <pivotField showAll="0">
      <items count="5">
        <item x="0"/>
        <item x="2"/>
        <item x="1"/>
        <item x="3"/>
        <item t="default"/>
      </items>
    </pivotField>
    <pivotField axis="axisRow" showAll="0" sortType="ascending">
      <items count="8">
        <item x="3"/>
        <item x="1"/>
        <item x="5"/>
        <item x="2"/>
        <item x="6"/>
        <item x="0"/>
        <item x="4"/>
        <item t="default"/>
      </items>
      <autoSortScope>
        <pivotArea dataOnly="0" outline="0" fieldPosition="0">
          <references count="1">
            <reference field="4294967294" count="1" selected="0">
              <x v="0"/>
            </reference>
          </references>
        </pivotArea>
      </autoSortScope>
    </pivotField>
    <pivotField showAll="0">
      <items count="10">
        <item x="7"/>
        <item x="5"/>
        <item x="4"/>
        <item x="1"/>
        <item x="2"/>
        <item x="0"/>
        <item x="8"/>
        <item x="6"/>
        <item x="3"/>
        <item t="default"/>
      </items>
    </pivotField>
    <pivotField showAll="0">
      <items count="8">
        <item x="6"/>
        <item x="2"/>
        <item x="3"/>
        <item x="1"/>
        <item x="5"/>
        <item x="0"/>
        <item x="4"/>
        <item t="default"/>
      </items>
    </pivotField>
    <pivotField showAll="0"/>
    <pivotField showAll="0"/>
    <pivotField dataField="1" showAll="0"/>
    <pivotField dataField="1" showAll="0" defaultSubtotal="0"/>
  </pivotFields>
  <rowFields count="1">
    <field x="4"/>
  </rowFields>
  <rowItems count="7">
    <i>
      <x v="4"/>
    </i>
    <i>
      <x v="5"/>
    </i>
    <i>
      <x/>
    </i>
    <i>
      <x v="1"/>
    </i>
    <i>
      <x v="2"/>
    </i>
    <i>
      <x v="3"/>
    </i>
    <i>
      <x v="6"/>
    </i>
  </rowItems>
  <colFields count="1">
    <field x="-2"/>
  </colFields>
  <colItems count="2">
    <i>
      <x/>
    </i>
    <i i="1">
      <x v="1"/>
    </i>
  </colItems>
  <dataFields count="2">
    <dataField name="Sum of الاجازه" fld="9" baseField="0" baseItem="0"/>
    <dataField name="Sum of الاورنيك" fld="10" baseField="0" baseItem="0"/>
  </dataFields>
  <formats count="4">
    <format dxfId="19">
      <pivotArea dataOnly="0" outline="0" fieldPosition="0">
        <references count="1">
          <reference field="4294967294" count="2">
            <x v="0"/>
            <x v="1"/>
          </reference>
        </references>
      </pivotArea>
    </format>
    <format dxfId="18">
      <pivotArea dataOnly="0" outline="0" fieldPosition="0">
        <references count="1">
          <reference field="4294967294" count="2">
            <x v="0"/>
            <x v="1"/>
          </reference>
        </references>
      </pivotArea>
    </format>
    <format dxfId="17">
      <pivotArea dataOnly="0" labelOnly="1" fieldPosition="0">
        <references count="1">
          <reference field="4" count="0"/>
        </references>
      </pivotArea>
    </format>
    <format dxfId="16">
      <pivotArea dataOnly="0" labelOnly="1" fieldPosition="0">
        <references count="1">
          <reference field="4" count="0"/>
        </references>
      </pivotArea>
    </format>
  </formats>
  <chartFormats count="2">
    <chartFormat chart="2" format="2" series="1">
      <pivotArea type="data" outline="0" fieldPosition="0">
        <references count="1">
          <reference field="4294967294" count="1" selected="0">
            <x v="1"/>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19">
  <location ref="A3:B7" firstHeaderRow="1" firstDataRow="1" firstDataCol="1"/>
  <pivotFields count="11">
    <pivotField showAll="0"/>
    <pivotField showAll="0"/>
    <pivotField showAll="0" defaultSubtotal="0">
      <items count="3">
        <item x="2"/>
        <item x="1"/>
        <item x="0"/>
      </items>
    </pivotField>
    <pivotField axis="axisRow" showAll="0">
      <items count="5">
        <item x="0"/>
        <item x="2"/>
        <item x="1"/>
        <item x="3"/>
        <item t="default"/>
      </items>
    </pivotField>
    <pivotField showAll="0">
      <items count="8">
        <item x="3"/>
        <item x="1"/>
        <item x="5"/>
        <item x="2"/>
        <item x="6"/>
        <item x="0"/>
        <item x="4"/>
        <item t="default"/>
      </items>
    </pivotField>
    <pivotField showAll="0">
      <items count="10">
        <item x="7"/>
        <item x="5"/>
        <item x="4"/>
        <item x="1"/>
        <item x="2"/>
        <item x="0"/>
        <item x="8"/>
        <item x="6"/>
        <item x="3"/>
        <item t="default"/>
      </items>
    </pivotField>
    <pivotField showAll="0">
      <items count="8">
        <item x="6"/>
        <item x="2"/>
        <item x="3"/>
        <item x="1"/>
        <item x="5"/>
        <item x="0"/>
        <item x="4"/>
        <item t="default"/>
      </items>
    </pivotField>
    <pivotField showAll="0"/>
    <pivotField showAll="0"/>
    <pivotField dataField="1" showAll="0"/>
    <pivotField showAll="0" defaultSubtotal="0"/>
  </pivotFields>
  <rowFields count="1">
    <field x="3"/>
  </rowFields>
  <rowItems count="4">
    <i>
      <x/>
    </i>
    <i>
      <x v="1"/>
    </i>
    <i>
      <x v="2"/>
    </i>
    <i>
      <x v="3"/>
    </i>
  </rowItems>
  <colItems count="1">
    <i/>
  </colItems>
  <dataFields count="1">
    <dataField name="Sum of الاجازه" fld="9" baseField="0" baseItem="0"/>
  </dataFields>
  <formats count="4">
    <format dxfId="23">
      <pivotArea dataOnly="0" labelOnly="1" fieldPosition="0">
        <references count="1">
          <reference field="3" count="0"/>
        </references>
      </pivotArea>
    </format>
    <format dxfId="22">
      <pivotArea dataOnly="0" labelOnly="1" fieldPosition="0">
        <references count="1">
          <reference field="3" count="0"/>
        </references>
      </pivotArea>
    </format>
    <format dxfId="21">
      <pivotArea outline="0" collapsedLevelsAreSubtotals="1" fieldPosition="0"/>
    </format>
    <format dxfId="20">
      <pivotArea outline="0" collapsedLevelsAreSubtotals="1" fieldPosition="0"/>
    </format>
  </formats>
  <chartFormats count="5">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3" count="1" selected="0">
            <x v="0"/>
          </reference>
        </references>
      </pivotArea>
    </chartFormat>
    <chartFormat chart="2" format="4">
      <pivotArea type="data" outline="0" fieldPosition="0">
        <references count="2">
          <reference field="4294967294" count="1" selected="0">
            <x v="0"/>
          </reference>
          <reference field="3" count="1" selected="0">
            <x v="1"/>
          </reference>
        </references>
      </pivotArea>
    </chartFormat>
    <chartFormat chart="2" format="5">
      <pivotArea type="data" outline="0" fieldPosition="0">
        <references count="2">
          <reference field="4294967294" count="1" selected="0">
            <x v="0"/>
          </reference>
          <reference field="3" count="1" selected="0">
            <x v="2"/>
          </reference>
        </references>
      </pivotArea>
    </chartFormat>
    <chartFormat chart="2" format="6">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location ref="D13:D14" firstHeaderRow="1" firstDataRow="1" firstDataCol="0"/>
  <pivotFields count="11">
    <pivotField showAll="0"/>
    <pivotField showAll="0"/>
    <pivotField showAll="0" defaultSubtotal="0">
      <items count="3">
        <item x="2"/>
        <item x="1"/>
        <item x="0"/>
      </items>
    </pivotField>
    <pivotField showAll="0">
      <items count="5">
        <item x="0"/>
        <item x="2"/>
        <item x="1"/>
        <item x="3"/>
        <item t="default"/>
      </items>
    </pivotField>
    <pivotField showAll="0">
      <items count="8">
        <item x="3"/>
        <item x="1"/>
        <item x="5"/>
        <item x="2"/>
        <item x="6"/>
        <item x="0"/>
        <item x="4"/>
        <item t="default"/>
      </items>
    </pivotField>
    <pivotField showAll="0">
      <items count="10">
        <item x="7"/>
        <item x="5"/>
        <item x="4"/>
        <item x="1"/>
        <item x="2"/>
        <item x="0"/>
        <item x="8"/>
        <item x="6"/>
        <item x="3"/>
        <item t="default"/>
      </items>
    </pivotField>
    <pivotField showAll="0">
      <items count="8">
        <item x="6"/>
        <item x="2"/>
        <item x="3"/>
        <item x="1"/>
        <item x="5"/>
        <item x="0"/>
        <item x="4"/>
        <item t="default"/>
      </items>
    </pivotField>
    <pivotField showAll="0"/>
    <pivotField showAll="0"/>
    <pivotField showAll="0"/>
    <pivotField dataField="1" showAll="0" defaultSubtotal="0"/>
  </pivotFields>
  <rowItems count="1">
    <i/>
  </rowItems>
  <colItems count="1">
    <i/>
  </colItems>
  <dataFields count="1">
    <dataField name="Sum of الاورنيك" fld="10" baseField="0" baseItem="0"/>
  </dataFields>
  <formats count="2">
    <format dxfId="25">
      <pivotArea outline="0" collapsedLevelsAreSubtotals="1" fieldPosition="0"/>
    </format>
    <format dxfId="24">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6">
  <location ref="K5:K6" firstHeaderRow="1" firstDataRow="1" firstDataCol="0"/>
  <pivotFields count="11">
    <pivotField showAll="0"/>
    <pivotField showAll="0"/>
    <pivotField showAll="0" defaultSubtotal="0">
      <items count="3">
        <item x="2"/>
        <item x="1"/>
        <item x="0"/>
      </items>
    </pivotField>
    <pivotField showAll="0">
      <items count="5">
        <item x="0"/>
        <item x="2"/>
        <item x="1"/>
        <item x="3"/>
        <item t="default"/>
      </items>
    </pivotField>
    <pivotField showAll="0">
      <items count="8">
        <item x="3"/>
        <item x="1"/>
        <item x="5"/>
        <item x="2"/>
        <item x="6"/>
        <item x="0"/>
        <item x="4"/>
        <item t="default"/>
      </items>
    </pivotField>
    <pivotField showAll="0">
      <items count="10">
        <item x="7"/>
        <item x="5"/>
        <item x="4"/>
        <item x="1"/>
        <item x="2"/>
        <item x="0"/>
        <item x="8"/>
        <item x="6"/>
        <item x="3"/>
        <item t="default"/>
      </items>
    </pivotField>
    <pivotField showAll="0">
      <items count="8">
        <item x="6"/>
        <item x="2"/>
        <item x="3"/>
        <item x="1"/>
        <item x="5"/>
        <item x="0"/>
        <item x="4"/>
        <item t="default"/>
      </items>
    </pivotField>
    <pivotField showAll="0"/>
    <pivotField showAll="0"/>
    <pivotField dataField="1" showAll="0"/>
    <pivotField showAll="0" defaultSubtotal="0"/>
  </pivotFields>
  <rowItems count="1">
    <i/>
  </rowItems>
  <colItems count="1">
    <i/>
  </colItems>
  <dataFields count="1">
    <dataField name="Sum of الاجازه" fld="9" baseField="0" baseItem="0"/>
  </dataFields>
  <formats count="2">
    <format dxfId="27">
      <pivotArea outline="0" collapsedLevelsAreSubtotals="1" fieldPosition="0"/>
    </format>
    <format dxfId="26">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الاداره" sourceName="الاداره ">
  <pivotTables>
    <pivotTable tabId="4" name="PivotTable2"/>
    <pivotTable tabId="4" name="PivotTable1"/>
    <pivotTable tabId="4" name="الاجازه"/>
    <pivotTable tabId="4" name="PivotTable5"/>
    <pivotTable tabId="4" name="PivotTable3"/>
  </pivotTables>
  <data>
    <tabular pivotCacheId="1">
      <items count="4">
        <i x="0" s="1"/>
        <i x="2" s="1"/>
        <i x="1" s="1"/>
        <i x="3"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الوظيفه" sourceName="الوظيفه">
  <pivotTables>
    <pivotTable tabId="4" name="PivotTable2"/>
    <pivotTable tabId="4" name="PivotTable1"/>
    <pivotTable tabId="4" name="الاجازه"/>
    <pivotTable tabId="4" name="PivotTable5"/>
    <pivotTable tabId="4" name="PivotTable3"/>
  </pivotTables>
  <data>
    <tabular pivotCacheId="1">
      <items count="7">
        <i x="6" s="1"/>
        <i x="2" s="1"/>
        <i x="3" s="1"/>
        <i x="1" s="1"/>
        <i x="5" s="1"/>
        <i x="0" s="1"/>
        <i x="4"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القسم" sourceName="القسم">
  <pivotTables>
    <pivotTable tabId="4" name="PivotTable2"/>
    <pivotTable tabId="4" name="PivotTable1"/>
    <pivotTable tabId="4" name="الاجازه"/>
    <pivotTable tabId="4" name="PivotTable5"/>
    <pivotTable tabId="4" name="PivotTable3"/>
  </pivotTables>
  <data>
    <tabular pivotCacheId="1">
      <items count="7">
        <i x="3" s="1"/>
        <i x="1" s="1"/>
        <i x="5" s="1"/>
        <i x="2" s="1"/>
        <i x="6" s="1"/>
        <i x="0" s="1"/>
        <i x="4"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الفرع" sourceName="الفرع">
  <pivotTables>
    <pivotTable tabId="4" name="الاجازه"/>
    <pivotTable tabId="4" name="PivotTable1"/>
    <pivotTable tabId="4" name="PivotTable2"/>
    <pivotTable tabId="4" name="PivotTable5"/>
    <pivotTable tabId="4" name="PivotTable3"/>
  </pivotTables>
  <data>
    <tabular pivotCacheId="1">
      <items count="3">
        <i x="2" s="1"/>
        <i x="1" s="1"/>
        <i x="0"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الوحده" sourceName="الوحده">
  <pivotTables>
    <pivotTable tabId="4" name="PivotTable2"/>
    <pivotTable tabId="4" name="PivotTable1"/>
    <pivotTable tabId="4" name="الاجازه"/>
    <pivotTable tabId="4" name="PivotTable5"/>
    <pivotTable tabId="4" name="PivotTable3"/>
  </pivotTables>
  <data>
    <tabular pivotCacheId="1">
      <items count="9">
        <i x="7" s="1"/>
        <i x="5" s="1"/>
        <i x="4" s="1"/>
        <i x="1" s="1"/>
        <i x="2" s="1"/>
        <i x="0" s="1"/>
        <i x="8" s="1"/>
        <i x="6" s="1"/>
        <i x="3"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الاداره  1" cache="Slicer_الاداره" caption="الاداره " columnCount="2" style="SlicerStyleDark1" rowHeight="241300"/>
  <slicer name="الوظيفه" cache="Slicer_الوظيفه" caption="الوظيفه" columnCount="3" style="SlicerStyleLight2" rowHeight="241300"/>
  <slicer name="القسم" cache="Slicer_القسم" caption="القسم" columnCount="2" style="SlicerStyleOther2" rowHeight="241300"/>
  <slicer name="الفرع" cache="Slicer_الفرع" caption="الفرع" columnCount="2" style="SlicerStyleDark5" rowHeight="241300"/>
  <slicer name="الوحده" cache="Slicer_الوحده" caption="الوحده" columnCount="3" rowHeight="241300"/>
</slicers>
</file>

<file path=xl/tables/table1.xml><?xml version="1.0" encoding="utf-8"?>
<table xmlns="http://schemas.openxmlformats.org/spreadsheetml/2006/main" id="2" name="Table2" displayName="Table2" ref="A1:K3" totalsRowShown="0">
  <autoFilter ref="A1:K3"/>
  <tableColumns count="11">
    <tableColumn id="1" name="الرقم"/>
    <tableColumn id="2" name="الاسم"/>
    <tableColumn id="3" name="الفرع"/>
    <tableColumn id="4" name="الاداره "/>
    <tableColumn id="5" name="القسم"/>
    <tableColumn id="6" name="الوحده"/>
    <tableColumn id="7" name="الوظيفه"/>
    <tableColumn id="8" name="العمر"/>
    <tableColumn id="9" name="Column1"/>
    <tableColumn id="10" name="الاجازه"/>
    <tableColumn id="11" name="الاورنيك"/>
  </tableColumns>
  <tableStyleInfo name="TableStyleMedium2" showFirstColumn="0" showLastColumn="0" showRowStripes="1" showColumnStripes="0"/>
</table>
</file>

<file path=xl/tables/table2.xml><?xml version="1.0" encoding="utf-8"?>
<table xmlns="http://schemas.openxmlformats.org/spreadsheetml/2006/main" id="3" name="Table3" displayName="Table3" ref="A1:K11" totalsRowShown="0">
  <autoFilter ref="A1:K11"/>
  <tableColumns count="11">
    <tableColumn id="1" name="الرقم"/>
    <tableColumn id="2" name="الاسم"/>
    <tableColumn id="3" name="الفرع"/>
    <tableColumn id="4" name="الاداره "/>
    <tableColumn id="5" name="القسم"/>
    <tableColumn id="6" name="الوحده"/>
    <tableColumn id="7" name="الوظيفه"/>
    <tableColumn id="8" name="العمر"/>
    <tableColumn id="9" name="Column1"/>
    <tableColumn id="10" name="الاجازه"/>
    <tableColumn id="11" name="الاورنيك"/>
  </tableColumns>
  <tableStyleInfo name="TableStyleMedium2" showFirstColumn="0" showLastColumn="0" showRowStripes="1" showColumnStripes="0"/>
</table>
</file>

<file path=xl/tables/table3.xml><?xml version="1.0" encoding="utf-8"?>
<table xmlns="http://schemas.openxmlformats.org/spreadsheetml/2006/main" id="4" name="Table4" displayName="Table4" ref="A1:K11" totalsRowShown="0">
  <autoFilter ref="A1:K11"/>
  <tableColumns count="11">
    <tableColumn id="1" name="الرقم"/>
    <tableColumn id="2" name="الاسم"/>
    <tableColumn id="3" name="الفرع"/>
    <tableColumn id="4" name="الاداره "/>
    <tableColumn id="5" name="القسم"/>
    <tableColumn id="6" name="الوحده"/>
    <tableColumn id="7" name="الوظيفه"/>
    <tableColumn id="8" name="العمر"/>
    <tableColumn id="9" name="Column1"/>
    <tableColumn id="10" name="الاجازه"/>
    <tableColumn id="11" name="الاورنيك"/>
  </tableColumns>
  <tableStyleInfo name="TableStyleMedium2" showFirstColumn="0" showLastColumn="0" showRowStripes="1" showColumnStripes="0"/>
</table>
</file>

<file path=xl/tables/table4.xml><?xml version="1.0" encoding="utf-8"?>
<table xmlns="http://schemas.openxmlformats.org/spreadsheetml/2006/main" id="1" name="Table1" displayName="Table1" ref="A1:K11" totalsRowShown="0" headerRowDxfId="15" dataDxfId="13" headerRowBorderDxfId="14" tableBorderDxfId="12" totalsRowBorderDxfId="11">
  <autoFilter ref="A1:K11"/>
  <tableColumns count="11">
    <tableColumn id="1" name="الرقم" dataDxfId="10"/>
    <tableColumn id="2" name="الاسم" dataDxfId="9"/>
    <tableColumn id="11" name="الفرع" dataDxfId="8"/>
    <tableColumn id="3" name="الاداره " dataDxfId="7"/>
    <tableColumn id="4" name="القسم" dataDxfId="6"/>
    <tableColumn id="5" name="الوحده" dataDxfId="5"/>
    <tableColumn id="6" name="الوظيفه" dataDxfId="4"/>
    <tableColumn id="7" name="العمر" dataDxfId="3"/>
    <tableColumn id="9" name="Column1" dataDxfId="2">
      <calculatedColumnFormula>EVALTION(Table1[[#This Row],[العمر]])</calculatedColumnFormula>
    </tableColumn>
    <tableColumn id="8" name="الاجازه" dataDxfId="1"/>
    <tableColumn id="10" name="الاورنيك"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3"/>
  <sheetViews>
    <sheetView workbookViewId="0">
      <selection sqref="A1:K3"/>
    </sheetView>
  </sheetViews>
  <sheetFormatPr defaultRowHeight="14.5" x14ac:dyDescent="0.35"/>
  <cols>
    <col min="9" max="9" width="10.26953125" customWidth="1"/>
  </cols>
  <sheetData>
    <row r="1" spans="1:11" x14ac:dyDescent="0.35">
      <c r="A1" t="s">
        <v>0</v>
      </c>
      <c r="B1" t="s">
        <v>1</v>
      </c>
      <c r="C1" t="s">
        <v>51</v>
      </c>
      <c r="D1" t="s">
        <v>2</v>
      </c>
      <c r="E1" t="s">
        <v>3</v>
      </c>
      <c r="F1" t="s">
        <v>4</v>
      </c>
      <c r="G1" t="s">
        <v>5</v>
      </c>
      <c r="H1" t="s">
        <v>6</v>
      </c>
      <c r="I1" t="s">
        <v>33</v>
      </c>
      <c r="J1" t="s">
        <v>7</v>
      </c>
      <c r="K1" t="s">
        <v>37</v>
      </c>
    </row>
    <row r="2" spans="1:11" x14ac:dyDescent="0.35">
      <c r="A2">
        <v>10</v>
      </c>
      <c r="B2" t="s">
        <v>17</v>
      </c>
      <c r="C2" t="s">
        <v>52</v>
      </c>
      <c r="D2" t="s">
        <v>21</v>
      </c>
      <c r="E2" t="s">
        <v>28</v>
      </c>
      <c r="F2" t="s">
        <v>44</v>
      </c>
      <c r="G2" t="s">
        <v>49</v>
      </c>
      <c r="H2">
        <v>25</v>
      </c>
      <c r="I2" t="s">
        <v>55</v>
      </c>
      <c r="J2">
        <v>3</v>
      </c>
      <c r="K2">
        <v>2</v>
      </c>
    </row>
    <row r="3" spans="1:11" x14ac:dyDescent="0.35">
      <c r="A3">
        <v>9</v>
      </c>
      <c r="B3" t="s">
        <v>16</v>
      </c>
      <c r="C3" t="s">
        <v>52</v>
      </c>
      <c r="D3" t="s">
        <v>21</v>
      </c>
      <c r="E3" t="s">
        <v>27</v>
      </c>
      <c r="F3" t="s">
        <v>43</v>
      </c>
      <c r="G3" t="s">
        <v>48</v>
      </c>
      <c r="H3">
        <v>42</v>
      </c>
      <c r="I3" t="s">
        <v>56</v>
      </c>
      <c r="J3">
        <v>12</v>
      </c>
      <c r="K3">
        <v>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1"/>
  <sheetViews>
    <sheetView workbookViewId="0">
      <selection sqref="A1:K11"/>
    </sheetView>
  </sheetViews>
  <sheetFormatPr defaultRowHeight="14.5" x14ac:dyDescent="0.35"/>
  <cols>
    <col min="9" max="9" width="10.26953125" customWidth="1"/>
  </cols>
  <sheetData>
    <row r="1" spans="1:11" x14ac:dyDescent="0.35">
      <c r="A1" t="s">
        <v>0</v>
      </c>
      <c r="B1" t="s">
        <v>1</v>
      </c>
      <c r="C1" t="s">
        <v>51</v>
      </c>
      <c r="D1" t="s">
        <v>2</v>
      </c>
      <c r="E1" t="s">
        <v>3</v>
      </c>
      <c r="F1" t="s">
        <v>4</v>
      </c>
      <c r="G1" t="s">
        <v>5</v>
      </c>
      <c r="H1" t="s">
        <v>6</v>
      </c>
      <c r="I1" t="s">
        <v>33</v>
      </c>
      <c r="J1" t="s">
        <v>7</v>
      </c>
      <c r="K1" t="s">
        <v>37</v>
      </c>
    </row>
    <row r="2" spans="1:11" x14ac:dyDescent="0.35">
      <c r="A2">
        <v>1</v>
      </c>
      <c r="B2" t="s">
        <v>8</v>
      </c>
      <c r="C2" t="s">
        <v>52</v>
      </c>
      <c r="D2" t="s">
        <v>18</v>
      </c>
      <c r="E2" t="s">
        <v>22</v>
      </c>
      <c r="F2" t="s">
        <v>38</v>
      </c>
      <c r="G2" t="s">
        <v>45</v>
      </c>
      <c r="H2">
        <v>40</v>
      </c>
      <c r="I2" t="s">
        <v>56</v>
      </c>
      <c r="J2">
        <v>3</v>
      </c>
      <c r="K2">
        <v>1</v>
      </c>
    </row>
    <row r="3" spans="1:11" x14ac:dyDescent="0.35">
      <c r="A3">
        <v>6</v>
      </c>
      <c r="B3" t="s">
        <v>13</v>
      </c>
      <c r="C3" t="s">
        <v>53</v>
      </c>
      <c r="D3" t="s">
        <v>18</v>
      </c>
      <c r="E3" t="s">
        <v>25</v>
      </c>
      <c r="F3" t="s">
        <v>42</v>
      </c>
      <c r="G3" t="s">
        <v>46</v>
      </c>
      <c r="H3">
        <v>60</v>
      </c>
      <c r="I3" t="s">
        <v>57</v>
      </c>
      <c r="J3">
        <v>4</v>
      </c>
      <c r="K3">
        <v>7</v>
      </c>
    </row>
    <row r="4" spans="1:11" x14ac:dyDescent="0.35">
      <c r="A4">
        <v>3</v>
      </c>
      <c r="B4" t="s">
        <v>10</v>
      </c>
      <c r="C4" t="s">
        <v>54</v>
      </c>
      <c r="D4" t="s">
        <v>20</v>
      </c>
      <c r="E4" t="s">
        <v>24</v>
      </c>
      <c r="F4" t="s">
        <v>39</v>
      </c>
      <c r="G4" t="s">
        <v>31</v>
      </c>
      <c r="H4">
        <v>30</v>
      </c>
      <c r="I4" t="s">
        <v>58</v>
      </c>
      <c r="J4">
        <v>5</v>
      </c>
      <c r="K4">
        <v>1</v>
      </c>
    </row>
    <row r="5" spans="1:11" x14ac:dyDescent="0.35">
      <c r="A5">
        <v>5</v>
      </c>
      <c r="B5" t="s">
        <v>12</v>
      </c>
      <c r="C5" t="s">
        <v>52</v>
      </c>
      <c r="D5" t="s">
        <v>20</v>
      </c>
      <c r="E5" t="s">
        <v>24</v>
      </c>
      <c r="F5" t="s">
        <v>41</v>
      </c>
      <c r="G5" t="s">
        <v>31</v>
      </c>
      <c r="H5">
        <v>53</v>
      </c>
      <c r="I5" t="s">
        <v>59</v>
      </c>
      <c r="J5">
        <v>2</v>
      </c>
      <c r="K5">
        <v>2</v>
      </c>
    </row>
    <row r="6" spans="1:11" x14ac:dyDescent="0.35">
      <c r="A6">
        <v>7</v>
      </c>
      <c r="B6" t="s">
        <v>14</v>
      </c>
      <c r="C6" t="s">
        <v>54</v>
      </c>
      <c r="D6" t="s">
        <v>20</v>
      </c>
      <c r="E6" t="s">
        <v>24</v>
      </c>
      <c r="F6" t="s">
        <v>39</v>
      </c>
      <c r="G6" t="s">
        <v>31</v>
      </c>
      <c r="H6">
        <v>45</v>
      </c>
      <c r="I6" t="s">
        <v>56</v>
      </c>
      <c r="J6">
        <v>7</v>
      </c>
      <c r="K6">
        <v>3</v>
      </c>
    </row>
    <row r="7" spans="1:11" x14ac:dyDescent="0.35">
      <c r="A7">
        <v>8</v>
      </c>
      <c r="B7" t="s">
        <v>15</v>
      </c>
      <c r="C7" t="s">
        <v>52</v>
      </c>
      <c r="D7" t="s">
        <v>20</v>
      </c>
      <c r="E7" t="s">
        <v>26</v>
      </c>
      <c r="F7" t="s">
        <v>40</v>
      </c>
      <c r="G7" t="s">
        <v>47</v>
      </c>
      <c r="H7">
        <v>33</v>
      </c>
      <c r="I7" t="s">
        <v>58</v>
      </c>
      <c r="J7">
        <v>15</v>
      </c>
      <c r="K7">
        <v>1</v>
      </c>
    </row>
    <row r="8" spans="1:11" x14ac:dyDescent="0.35">
      <c r="A8">
        <v>2</v>
      </c>
      <c r="B8" t="s">
        <v>9</v>
      </c>
      <c r="C8" t="s">
        <v>53</v>
      </c>
      <c r="D8" t="s">
        <v>19</v>
      </c>
      <c r="E8" t="s">
        <v>29</v>
      </c>
      <c r="F8" t="s">
        <v>23</v>
      </c>
      <c r="G8" t="s">
        <v>30</v>
      </c>
      <c r="H8">
        <v>27</v>
      </c>
      <c r="I8" t="s">
        <v>55</v>
      </c>
      <c r="J8">
        <v>3</v>
      </c>
      <c r="K8">
        <v>5</v>
      </c>
    </row>
    <row r="9" spans="1:11" x14ac:dyDescent="0.35">
      <c r="A9">
        <v>4</v>
      </c>
      <c r="B9" t="s">
        <v>11</v>
      </c>
      <c r="C9" t="s">
        <v>52</v>
      </c>
      <c r="D9" t="s">
        <v>19</v>
      </c>
      <c r="E9" t="s">
        <v>29</v>
      </c>
      <c r="F9" t="s">
        <v>32</v>
      </c>
      <c r="G9" t="s">
        <v>30</v>
      </c>
      <c r="H9">
        <v>50</v>
      </c>
      <c r="I9" t="s">
        <v>59</v>
      </c>
      <c r="J9">
        <v>8</v>
      </c>
      <c r="K9">
        <v>0</v>
      </c>
    </row>
    <row r="10" spans="1:11" x14ac:dyDescent="0.35">
      <c r="A10">
        <v>9</v>
      </c>
      <c r="B10" t="s">
        <v>16</v>
      </c>
      <c r="C10" t="s">
        <v>52</v>
      </c>
      <c r="D10" t="s">
        <v>21</v>
      </c>
      <c r="E10" t="s">
        <v>27</v>
      </c>
      <c r="F10" t="s">
        <v>43</v>
      </c>
      <c r="G10" t="s">
        <v>48</v>
      </c>
      <c r="H10">
        <v>42</v>
      </c>
      <c r="I10" t="s">
        <v>56</v>
      </c>
      <c r="J10">
        <v>12</v>
      </c>
      <c r="K10">
        <v>1</v>
      </c>
    </row>
    <row r="11" spans="1:11" x14ac:dyDescent="0.35">
      <c r="A11">
        <v>10</v>
      </c>
      <c r="B11" t="s">
        <v>17</v>
      </c>
      <c r="C11" t="s">
        <v>52</v>
      </c>
      <c r="D11" t="s">
        <v>21</v>
      </c>
      <c r="E11" t="s">
        <v>28</v>
      </c>
      <c r="F11" t="s">
        <v>44</v>
      </c>
      <c r="G11" t="s">
        <v>49</v>
      </c>
      <c r="H11">
        <v>25</v>
      </c>
      <c r="I11" t="s">
        <v>55</v>
      </c>
      <c r="J11">
        <v>3</v>
      </c>
      <c r="K11">
        <v>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1"/>
  <sheetViews>
    <sheetView workbookViewId="0">
      <selection activeCell="M14" sqref="M14"/>
    </sheetView>
  </sheetViews>
  <sheetFormatPr defaultRowHeight="14.5" x14ac:dyDescent="0.35"/>
  <cols>
    <col min="9" max="9" width="10.26953125" customWidth="1"/>
  </cols>
  <sheetData>
    <row r="1" spans="1:11" x14ac:dyDescent="0.35">
      <c r="A1" t="s">
        <v>0</v>
      </c>
      <c r="B1" t="s">
        <v>1</v>
      </c>
      <c r="C1" t="s">
        <v>51</v>
      </c>
      <c r="D1" t="s">
        <v>2</v>
      </c>
      <c r="E1" t="s">
        <v>3</v>
      </c>
      <c r="F1" t="s">
        <v>4</v>
      </c>
      <c r="G1" t="s">
        <v>5</v>
      </c>
      <c r="H1" t="s">
        <v>6</v>
      </c>
      <c r="I1" t="s">
        <v>33</v>
      </c>
      <c r="J1" t="s">
        <v>7</v>
      </c>
      <c r="K1" t="s">
        <v>37</v>
      </c>
    </row>
    <row r="2" spans="1:11" x14ac:dyDescent="0.35">
      <c r="A2">
        <v>1</v>
      </c>
      <c r="B2" t="s">
        <v>8</v>
      </c>
      <c r="C2" t="s">
        <v>52</v>
      </c>
      <c r="D2" t="s">
        <v>18</v>
      </c>
      <c r="E2" t="s">
        <v>22</v>
      </c>
      <c r="F2" t="s">
        <v>38</v>
      </c>
      <c r="G2" t="s">
        <v>45</v>
      </c>
      <c r="H2">
        <v>40</v>
      </c>
      <c r="I2" t="s">
        <v>56</v>
      </c>
      <c r="J2">
        <v>3</v>
      </c>
      <c r="K2">
        <v>1</v>
      </c>
    </row>
    <row r="3" spans="1:11" x14ac:dyDescent="0.35">
      <c r="A3">
        <v>2</v>
      </c>
      <c r="B3" t="s">
        <v>9</v>
      </c>
      <c r="C3" t="s">
        <v>53</v>
      </c>
      <c r="D3" t="s">
        <v>19</v>
      </c>
      <c r="E3" t="s">
        <v>29</v>
      </c>
      <c r="F3" t="s">
        <v>23</v>
      </c>
      <c r="G3" t="s">
        <v>30</v>
      </c>
      <c r="H3">
        <v>27</v>
      </c>
      <c r="I3" t="s">
        <v>55</v>
      </c>
      <c r="J3">
        <v>3</v>
      </c>
      <c r="K3">
        <v>5</v>
      </c>
    </row>
    <row r="4" spans="1:11" x14ac:dyDescent="0.35">
      <c r="A4">
        <v>3</v>
      </c>
      <c r="B4" t="s">
        <v>10</v>
      </c>
      <c r="C4" t="s">
        <v>54</v>
      </c>
      <c r="D4" t="s">
        <v>20</v>
      </c>
      <c r="E4" t="s">
        <v>24</v>
      </c>
      <c r="F4" t="s">
        <v>39</v>
      </c>
      <c r="G4" t="s">
        <v>31</v>
      </c>
      <c r="H4">
        <v>30</v>
      </c>
      <c r="I4" t="s">
        <v>58</v>
      </c>
      <c r="J4">
        <v>5</v>
      </c>
      <c r="K4">
        <v>1</v>
      </c>
    </row>
    <row r="5" spans="1:11" x14ac:dyDescent="0.35">
      <c r="A5">
        <v>4</v>
      </c>
      <c r="B5" t="s">
        <v>11</v>
      </c>
      <c r="C5" t="s">
        <v>52</v>
      </c>
      <c r="D5" t="s">
        <v>19</v>
      </c>
      <c r="E5" t="s">
        <v>29</v>
      </c>
      <c r="F5" t="s">
        <v>32</v>
      </c>
      <c r="G5" t="s">
        <v>30</v>
      </c>
      <c r="H5">
        <v>50</v>
      </c>
      <c r="I5" t="s">
        <v>59</v>
      </c>
      <c r="J5">
        <v>8</v>
      </c>
      <c r="K5">
        <v>0</v>
      </c>
    </row>
    <row r="6" spans="1:11" x14ac:dyDescent="0.35">
      <c r="A6">
        <v>5</v>
      </c>
      <c r="B6" t="s">
        <v>12</v>
      </c>
      <c r="C6" t="s">
        <v>52</v>
      </c>
      <c r="D6" t="s">
        <v>20</v>
      </c>
      <c r="E6" t="s">
        <v>24</v>
      </c>
      <c r="F6" t="s">
        <v>41</v>
      </c>
      <c r="G6" t="s">
        <v>31</v>
      </c>
      <c r="H6">
        <v>53</v>
      </c>
      <c r="I6" t="s">
        <v>59</v>
      </c>
      <c r="J6">
        <v>2</v>
      </c>
      <c r="K6">
        <v>2</v>
      </c>
    </row>
    <row r="7" spans="1:11" x14ac:dyDescent="0.35">
      <c r="A7">
        <v>6</v>
      </c>
      <c r="B7" t="s">
        <v>13</v>
      </c>
      <c r="C7" t="s">
        <v>53</v>
      </c>
      <c r="D7" t="s">
        <v>18</v>
      </c>
      <c r="E7" t="s">
        <v>25</v>
      </c>
      <c r="F7" t="s">
        <v>42</v>
      </c>
      <c r="G7" t="s">
        <v>46</v>
      </c>
      <c r="H7">
        <v>60</v>
      </c>
      <c r="I7" t="s">
        <v>57</v>
      </c>
      <c r="J7">
        <v>4</v>
      </c>
      <c r="K7">
        <v>7</v>
      </c>
    </row>
    <row r="8" spans="1:11" x14ac:dyDescent="0.35">
      <c r="A8">
        <v>7</v>
      </c>
      <c r="B8" t="s">
        <v>14</v>
      </c>
      <c r="C8" t="s">
        <v>54</v>
      </c>
      <c r="D8" t="s">
        <v>20</v>
      </c>
      <c r="E8" t="s">
        <v>24</v>
      </c>
      <c r="F8" t="s">
        <v>39</v>
      </c>
      <c r="G8" t="s">
        <v>31</v>
      </c>
      <c r="H8">
        <v>45</v>
      </c>
      <c r="I8" t="s">
        <v>56</v>
      </c>
      <c r="J8">
        <v>7</v>
      </c>
      <c r="K8">
        <v>3</v>
      </c>
    </row>
    <row r="9" spans="1:11" x14ac:dyDescent="0.35">
      <c r="A9">
        <v>8</v>
      </c>
      <c r="B9" t="s">
        <v>15</v>
      </c>
      <c r="C9" t="s">
        <v>52</v>
      </c>
      <c r="D9" t="s">
        <v>20</v>
      </c>
      <c r="E9" t="s">
        <v>26</v>
      </c>
      <c r="F9" t="s">
        <v>40</v>
      </c>
      <c r="G9" t="s">
        <v>47</v>
      </c>
      <c r="H9">
        <v>33</v>
      </c>
      <c r="I9" t="s">
        <v>58</v>
      </c>
      <c r="J9">
        <v>15</v>
      </c>
      <c r="K9">
        <v>1</v>
      </c>
    </row>
    <row r="10" spans="1:11" x14ac:dyDescent="0.35">
      <c r="A10">
        <v>9</v>
      </c>
      <c r="B10" t="s">
        <v>16</v>
      </c>
      <c r="C10" t="s">
        <v>52</v>
      </c>
      <c r="D10" t="s">
        <v>21</v>
      </c>
      <c r="E10" t="s">
        <v>27</v>
      </c>
      <c r="F10" t="s">
        <v>43</v>
      </c>
      <c r="G10" t="s">
        <v>48</v>
      </c>
      <c r="H10">
        <v>42</v>
      </c>
      <c r="I10" t="s">
        <v>56</v>
      </c>
      <c r="J10">
        <v>12</v>
      </c>
      <c r="K10">
        <v>1</v>
      </c>
    </row>
    <row r="11" spans="1:11" x14ac:dyDescent="0.35">
      <c r="A11">
        <v>10</v>
      </c>
      <c r="B11" t="s">
        <v>17</v>
      </c>
      <c r="C11" t="s">
        <v>52</v>
      </c>
      <c r="D11" t="s">
        <v>21</v>
      </c>
      <c r="E11" t="s">
        <v>28</v>
      </c>
      <c r="F11" t="s">
        <v>44</v>
      </c>
      <c r="G11" t="s">
        <v>49</v>
      </c>
      <c r="H11">
        <v>25</v>
      </c>
      <c r="I11" t="s">
        <v>55</v>
      </c>
      <c r="J11">
        <v>3</v>
      </c>
      <c r="K11">
        <v>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2"/>
  <sheetViews>
    <sheetView workbookViewId="0">
      <selection activeCell="K1" sqref="K1"/>
    </sheetView>
  </sheetViews>
  <sheetFormatPr defaultRowHeight="14.5" x14ac:dyDescent="0.35"/>
  <cols>
    <col min="1" max="1" width="14.81640625" bestFit="1" customWidth="1"/>
    <col min="2" max="2" width="4.7265625" bestFit="1" customWidth="1"/>
    <col min="3" max="3" width="7.7265625" bestFit="1" customWidth="1"/>
  </cols>
  <sheetData>
    <row r="1" spans="1:3" x14ac:dyDescent="0.35">
      <c r="A1" s="14" t="s">
        <v>61</v>
      </c>
    </row>
    <row r="2" spans="1:3" x14ac:dyDescent="0.35">
      <c r="A2" s="15" t="s">
        <v>62</v>
      </c>
      <c r="B2" s="15" t="s">
        <v>63</v>
      </c>
      <c r="C2" s="15" t="s">
        <v>64</v>
      </c>
    </row>
    <row r="4" spans="1:3" x14ac:dyDescent="0.35">
      <c r="A4" s="14" t="s">
        <v>65</v>
      </c>
    </row>
    <row r="5" spans="1:3" x14ac:dyDescent="0.35">
      <c r="A5" s="15" t="s">
        <v>62</v>
      </c>
      <c r="B5" s="15" t="s">
        <v>66</v>
      </c>
      <c r="C5" s="15" t="s">
        <v>64</v>
      </c>
    </row>
    <row r="8" spans="1:3" x14ac:dyDescent="0.35">
      <c r="A8" s="14" t="s">
        <v>67</v>
      </c>
      <c r="B8" t="s">
        <v>68</v>
      </c>
    </row>
    <row r="9" spans="1:3" x14ac:dyDescent="0.35">
      <c r="B9" t="s">
        <v>69</v>
      </c>
    </row>
    <row r="11" spans="1:3" x14ac:dyDescent="0.35">
      <c r="B11" t="s">
        <v>70</v>
      </c>
    </row>
    <row r="12" spans="1:3" x14ac:dyDescent="0.35">
      <c r="B12" t="s">
        <v>71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3:Q16"/>
  <sheetViews>
    <sheetView tabSelected="1" topLeftCell="A2" workbookViewId="0">
      <selection activeCell="G18" sqref="G18"/>
    </sheetView>
  </sheetViews>
  <sheetFormatPr defaultRowHeight="14.5" x14ac:dyDescent="0.35"/>
  <cols>
    <col min="1" max="1" width="12.36328125" customWidth="1"/>
    <col min="2" max="2" width="11.7265625" customWidth="1"/>
    <col min="4" max="4" width="12.54296875" bestFit="1" customWidth="1"/>
    <col min="7" max="7" width="12.36328125" customWidth="1"/>
    <col min="8" max="8" width="11.7265625" customWidth="1"/>
    <col min="9" max="9" width="12.54296875" customWidth="1"/>
    <col min="10" max="10" width="7" customWidth="1"/>
    <col min="11" max="11" width="11.7265625" bestFit="1" customWidth="1"/>
    <col min="12" max="12" width="8.1796875" customWidth="1"/>
    <col min="13" max="13" width="12.54296875" customWidth="1"/>
    <col min="16" max="16" width="13.453125" customWidth="1"/>
    <col min="17" max="17" width="11.7265625" bestFit="1" customWidth="1"/>
  </cols>
  <sheetData>
    <row r="3" spans="1:17" x14ac:dyDescent="0.35">
      <c r="A3" s="1" t="s">
        <v>35</v>
      </c>
      <c r="B3" t="s">
        <v>34</v>
      </c>
    </row>
    <row r="4" spans="1:17" x14ac:dyDescent="0.35">
      <c r="A4" s="18" t="s">
        <v>18</v>
      </c>
      <c r="B4" s="19">
        <v>7</v>
      </c>
    </row>
    <row r="5" spans="1:17" x14ac:dyDescent="0.35">
      <c r="A5" s="18" t="s">
        <v>20</v>
      </c>
      <c r="B5" s="19">
        <v>29</v>
      </c>
      <c r="G5" s="1" t="s">
        <v>35</v>
      </c>
      <c r="H5" s="18" t="s">
        <v>34</v>
      </c>
      <c r="I5" s="18" t="s">
        <v>50</v>
      </c>
      <c r="J5" t="s">
        <v>74</v>
      </c>
      <c r="K5" t="s">
        <v>34</v>
      </c>
    </row>
    <row r="6" spans="1:17" x14ac:dyDescent="0.35">
      <c r="A6" s="18" t="s">
        <v>19</v>
      </c>
      <c r="B6" s="19">
        <v>11</v>
      </c>
      <c r="G6" s="18" t="s">
        <v>28</v>
      </c>
      <c r="H6" s="19">
        <v>3</v>
      </c>
      <c r="I6" s="19">
        <v>2</v>
      </c>
      <c r="J6">
        <f>IF(G6=$M$10,H6,0)</f>
        <v>0</v>
      </c>
      <c r="K6" s="19">
        <v>62</v>
      </c>
    </row>
    <row r="7" spans="1:17" x14ac:dyDescent="0.35">
      <c r="A7" s="18" t="s">
        <v>21</v>
      </c>
      <c r="B7" s="19">
        <v>15</v>
      </c>
      <c r="G7" s="18" t="s">
        <v>22</v>
      </c>
      <c r="H7" s="19">
        <v>3</v>
      </c>
      <c r="I7" s="19">
        <v>1</v>
      </c>
      <c r="J7">
        <f t="shared" ref="J7:J12" si="0">IF(G7=$M$10,H7,0)</f>
        <v>0</v>
      </c>
    </row>
    <row r="8" spans="1:17" x14ac:dyDescent="0.35">
      <c r="G8" s="18" t="s">
        <v>25</v>
      </c>
      <c r="H8" s="19">
        <v>4</v>
      </c>
      <c r="I8" s="19">
        <v>7</v>
      </c>
      <c r="J8">
        <f t="shared" si="0"/>
        <v>0</v>
      </c>
    </row>
    <row r="9" spans="1:17" x14ac:dyDescent="0.35">
      <c r="G9" s="18" t="s">
        <v>29</v>
      </c>
      <c r="H9" s="19">
        <v>11</v>
      </c>
      <c r="I9" s="19">
        <v>5</v>
      </c>
      <c r="J9">
        <f t="shared" si="0"/>
        <v>0</v>
      </c>
      <c r="K9" s="18" t="s">
        <v>73</v>
      </c>
      <c r="L9" s="18">
        <v>3</v>
      </c>
    </row>
    <row r="10" spans="1:17" x14ac:dyDescent="0.35">
      <c r="G10" s="18" t="s">
        <v>27</v>
      </c>
      <c r="H10" s="19">
        <v>12</v>
      </c>
      <c r="I10" s="19">
        <v>1</v>
      </c>
      <c r="J10">
        <f t="shared" si="0"/>
        <v>12</v>
      </c>
      <c r="K10" s="18" t="s">
        <v>72</v>
      </c>
      <c r="L10" s="18">
        <f>COUNT(H6:H12)+1-L9</f>
        <v>5</v>
      </c>
      <c r="M10" s="18" t="str">
        <f>INDEX(G6:G12,L10)</f>
        <v>الخام</v>
      </c>
    </row>
    <row r="11" spans="1:17" x14ac:dyDescent="0.35">
      <c r="G11" s="18" t="s">
        <v>24</v>
      </c>
      <c r="H11" s="19">
        <v>14</v>
      </c>
      <c r="I11" s="19">
        <v>6</v>
      </c>
      <c r="J11">
        <f t="shared" si="0"/>
        <v>0</v>
      </c>
    </row>
    <row r="12" spans="1:17" x14ac:dyDescent="0.35">
      <c r="G12" s="18" t="s">
        <v>26</v>
      </c>
      <c r="H12" s="19">
        <v>15</v>
      </c>
      <c r="I12" s="19">
        <v>1</v>
      </c>
      <c r="J12">
        <f t="shared" si="0"/>
        <v>0</v>
      </c>
      <c r="P12" s="1" t="s">
        <v>35</v>
      </c>
      <c r="Q12" t="s">
        <v>60</v>
      </c>
    </row>
    <row r="13" spans="1:17" x14ac:dyDescent="0.35">
      <c r="D13" t="s">
        <v>50</v>
      </c>
      <c r="P13" s="3" t="s">
        <v>54</v>
      </c>
      <c r="Q13" s="2">
        <v>2</v>
      </c>
    </row>
    <row r="14" spans="1:17" x14ac:dyDescent="0.35">
      <c r="D14" s="19">
        <v>23</v>
      </c>
      <c r="P14" s="3" t="s">
        <v>53</v>
      </c>
      <c r="Q14" s="2">
        <v>2</v>
      </c>
    </row>
    <row r="15" spans="1:17" x14ac:dyDescent="0.35">
      <c r="P15" s="3" t="s">
        <v>52</v>
      </c>
      <c r="Q15" s="2">
        <v>6</v>
      </c>
    </row>
    <row r="16" spans="1:17" x14ac:dyDescent="0.35">
      <c r="P16" s="3" t="s">
        <v>36</v>
      </c>
      <c r="Q16" s="2">
        <v>10</v>
      </c>
    </row>
  </sheetData>
  <sortState ref="G5:I12">
    <sortCondition ref="H5"/>
  </sortState>
  <dataConsolid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4"/>
  </sheetPr>
  <dimension ref="M2:O2"/>
  <sheetViews>
    <sheetView showWhiteSpace="0" view="pageLayout" topLeftCell="A13" zoomScale="104" zoomScaleNormal="100" zoomScalePageLayoutView="104" workbookViewId="0">
      <selection activeCell="N17" sqref="N17"/>
    </sheetView>
  </sheetViews>
  <sheetFormatPr defaultRowHeight="14.5" x14ac:dyDescent="0.35"/>
  <sheetData>
    <row r="2" spans="13:15" x14ac:dyDescent="0.35">
      <c r="M2" s="16"/>
      <c r="O2" s="17"/>
    </row>
  </sheetData>
  <pageMargins left="0.7" right="0.7" top="0.75" bottom="0.75" header="0.3" footer="0.3"/>
  <pageSetup orientation="landscape" verticalDpi="0" r:id="rId1"/>
  <headerFooter>
    <oddHeader>&amp;C&amp;"Magneto,Regular"M3A Reporting System</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Scroll Bar 1">
              <controlPr defaultSize="0" autoPict="0">
                <anchor moveWithCells="1">
                  <from>
                    <xdr:col>3</xdr:col>
                    <xdr:colOff>565150</xdr:colOff>
                    <xdr:row>15</xdr:row>
                    <xdr:rowOff>107950</xdr:rowOff>
                  </from>
                  <to>
                    <xdr:col>4</xdr:col>
                    <xdr:colOff>158750</xdr:colOff>
                    <xdr:row>30</xdr:row>
                    <xdr:rowOff>76200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1"/>
  <sheetViews>
    <sheetView rightToLeft="1" workbookViewId="0">
      <selection activeCell="D15" sqref="D15"/>
    </sheetView>
  </sheetViews>
  <sheetFormatPr defaultRowHeight="14.5" x14ac:dyDescent="0.35"/>
  <cols>
    <col min="3" max="3" width="13.453125" bestFit="1" customWidth="1"/>
    <col min="4" max="4" width="17.36328125" bestFit="1" customWidth="1"/>
    <col min="5" max="5" width="11.453125" bestFit="1" customWidth="1"/>
    <col min="6" max="6" width="8" bestFit="1" customWidth="1"/>
  </cols>
  <sheetData>
    <row r="1" spans="1:11" x14ac:dyDescent="0.35">
      <c r="A1" s="11" t="s">
        <v>0</v>
      </c>
      <c r="B1" s="7" t="s">
        <v>1</v>
      </c>
      <c r="C1" s="7" t="s">
        <v>51</v>
      </c>
      <c r="D1" s="7" t="s">
        <v>2</v>
      </c>
      <c r="E1" s="7" t="s">
        <v>3</v>
      </c>
      <c r="F1" s="7" t="s">
        <v>4</v>
      </c>
      <c r="G1" s="7" t="s">
        <v>5</v>
      </c>
      <c r="H1" s="12" t="s">
        <v>6</v>
      </c>
      <c r="I1" s="13" t="s">
        <v>33</v>
      </c>
      <c r="J1" s="13" t="s">
        <v>7</v>
      </c>
      <c r="K1" s="7" t="s">
        <v>37</v>
      </c>
    </row>
    <row r="2" spans="1:11" x14ac:dyDescent="0.35">
      <c r="A2" s="4">
        <v>1</v>
      </c>
      <c r="B2" s="5" t="s">
        <v>8</v>
      </c>
      <c r="C2" s="5" t="s">
        <v>52</v>
      </c>
      <c r="D2" s="5" t="s">
        <v>18</v>
      </c>
      <c r="E2" s="5" t="s">
        <v>22</v>
      </c>
      <c r="F2" s="5" t="s">
        <v>38</v>
      </c>
      <c r="G2" s="5" t="s">
        <v>45</v>
      </c>
      <c r="H2" s="5">
        <v>40</v>
      </c>
      <c r="I2" s="6" t="str">
        <f>EVALTION(Table1[[#This Row],[العمر]])</f>
        <v>40 EENS</v>
      </c>
      <c r="J2" s="6">
        <v>3</v>
      </c>
      <c r="K2" s="7">
        <v>1</v>
      </c>
    </row>
    <row r="3" spans="1:11" x14ac:dyDescent="0.35">
      <c r="A3" s="4">
        <v>2</v>
      </c>
      <c r="B3" s="5" t="s">
        <v>9</v>
      </c>
      <c r="C3" s="5" t="s">
        <v>53</v>
      </c>
      <c r="D3" s="5" t="s">
        <v>19</v>
      </c>
      <c r="E3" s="5" t="s">
        <v>29</v>
      </c>
      <c r="F3" s="5" t="s">
        <v>23</v>
      </c>
      <c r="G3" s="5" t="s">
        <v>30</v>
      </c>
      <c r="H3" s="5">
        <v>27</v>
      </c>
      <c r="I3" s="6" t="str">
        <f>EVALTION(Table1[[#This Row],[العمر]])</f>
        <v>20 EENS</v>
      </c>
      <c r="J3" s="6">
        <v>3</v>
      </c>
      <c r="K3" s="5">
        <v>5</v>
      </c>
    </row>
    <row r="4" spans="1:11" x14ac:dyDescent="0.35">
      <c r="A4" s="4">
        <v>3</v>
      </c>
      <c r="B4" s="5" t="s">
        <v>10</v>
      </c>
      <c r="C4" s="5" t="s">
        <v>54</v>
      </c>
      <c r="D4" s="5" t="s">
        <v>20</v>
      </c>
      <c r="E4" s="5" t="s">
        <v>24</v>
      </c>
      <c r="F4" s="5" t="s">
        <v>39</v>
      </c>
      <c r="G4" s="5" t="s">
        <v>31</v>
      </c>
      <c r="H4" s="5">
        <v>30</v>
      </c>
      <c r="I4" s="6" t="str">
        <f>EVALTION(Table1[[#This Row],[العمر]])</f>
        <v>30 EENS</v>
      </c>
      <c r="J4" s="6">
        <v>5</v>
      </c>
      <c r="K4" s="5">
        <v>1</v>
      </c>
    </row>
    <row r="5" spans="1:11" x14ac:dyDescent="0.35">
      <c r="A5" s="4">
        <v>4</v>
      </c>
      <c r="B5" s="5" t="s">
        <v>11</v>
      </c>
      <c r="C5" s="5" t="s">
        <v>52</v>
      </c>
      <c r="D5" s="5" t="s">
        <v>19</v>
      </c>
      <c r="E5" s="5" t="s">
        <v>29</v>
      </c>
      <c r="F5" s="5" t="s">
        <v>32</v>
      </c>
      <c r="G5" s="5" t="s">
        <v>30</v>
      </c>
      <c r="H5" s="5">
        <v>50</v>
      </c>
      <c r="I5" s="6" t="str">
        <f>EVALTION(Table1[[#This Row],[العمر]])</f>
        <v>50 TEES</v>
      </c>
      <c r="J5" s="6">
        <v>8</v>
      </c>
      <c r="K5" s="5">
        <v>0</v>
      </c>
    </row>
    <row r="6" spans="1:11" x14ac:dyDescent="0.35">
      <c r="A6" s="4">
        <v>5</v>
      </c>
      <c r="B6" s="5" t="s">
        <v>12</v>
      </c>
      <c r="C6" s="5" t="s">
        <v>52</v>
      </c>
      <c r="D6" s="5" t="s">
        <v>20</v>
      </c>
      <c r="E6" s="5" t="s">
        <v>24</v>
      </c>
      <c r="F6" s="5" t="s">
        <v>41</v>
      </c>
      <c r="G6" s="5" t="s">
        <v>31</v>
      </c>
      <c r="H6" s="5">
        <v>53</v>
      </c>
      <c r="I6" s="6" t="str">
        <f>EVALTION(Table1[[#This Row],[العمر]])</f>
        <v>50 TEES</v>
      </c>
      <c r="J6" s="6">
        <v>2</v>
      </c>
      <c r="K6" s="5">
        <v>2</v>
      </c>
    </row>
    <row r="7" spans="1:11" x14ac:dyDescent="0.35">
      <c r="A7" s="4">
        <v>6</v>
      </c>
      <c r="B7" s="5" t="s">
        <v>13</v>
      </c>
      <c r="C7" s="5" t="s">
        <v>53</v>
      </c>
      <c r="D7" s="5" t="s">
        <v>18</v>
      </c>
      <c r="E7" s="5" t="s">
        <v>25</v>
      </c>
      <c r="F7" s="5" t="s">
        <v>42</v>
      </c>
      <c r="G7" s="5" t="s">
        <v>46</v>
      </c>
      <c r="H7" s="5">
        <v>60</v>
      </c>
      <c r="I7" s="6" t="str">
        <f>EVALTION(Table1[[#This Row],[العمر]])</f>
        <v>60 TEENS</v>
      </c>
      <c r="J7" s="6">
        <v>4</v>
      </c>
      <c r="K7" s="5">
        <v>7</v>
      </c>
    </row>
    <row r="8" spans="1:11" x14ac:dyDescent="0.35">
      <c r="A8" s="4">
        <v>7</v>
      </c>
      <c r="B8" s="5" t="s">
        <v>14</v>
      </c>
      <c r="C8" s="5" t="s">
        <v>54</v>
      </c>
      <c r="D8" s="5" t="s">
        <v>20</v>
      </c>
      <c r="E8" s="5" t="s">
        <v>24</v>
      </c>
      <c r="F8" s="5" t="s">
        <v>39</v>
      </c>
      <c r="G8" s="5" t="s">
        <v>31</v>
      </c>
      <c r="H8" s="5">
        <v>45</v>
      </c>
      <c r="I8" s="6" t="str">
        <f>EVALTION(Table1[[#This Row],[العمر]])</f>
        <v>40 EENS</v>
      </c>
      <c r="J8" s="6">
        <v>7</v>
      </c>
      <c r="K8" s="5">
        <v>3</v>
      </c>
    </row>
    <row r="9" spans="1:11" x14ac:dyDescent="0.35">
      <c r="A9" s="4">
        <v>8</v>
      </c>
      <c r="B9" s="5" t="s">
        <v>15</v>
      </c>
      <c r="C9" s="5" t="s">
        <v>52</v>
      </c>
      <c r="D9" s="5" t="s">
        <v>20</v>
      </c>
      <c r="E9" s="5" t="s">
        <v>26</v>
      </c>
      <c r="F9" s="5" t="s">
        <v>40</v>
      </c>
      <c r="G9" s="5" t="s">
        <v>47</v>
      </c>
      <c r="H9" s="5">
        <v>33</v>
      </c>
      <c r="I9" s="6" t="str">
        <f>EVALTION(Table1[[#This Row],[العمر]])</f>
        <v>30 EENS</v>
      </c>
      <c r="J9" s="6">
        <v>15</v>
      </c>
      <c r="K9" s="5">
        <v>1</v>
      </c>
    </row>
    <row r="10" spans="1:11" x14ac:dyDescent="0.35">
      <c r="A10" s="8">
        <v>9</v>
      </c>
      <c r="B10" s="9" t="s">
        <v>16</v>
      </c>
      <c r="C10" s="9" t="s">
        <v>52</v>
      </c>
      <c r="D10" s="9" t="s">
        <v>21</v>
      </c>
      <c r="E10" s="9" t="s">
        <v>27</v>
      </c>
      <c r="F10" s="9" t="s">
        <v>43</v>
      </c>
      <c r="G10" s="9" t="s">
        <v>48</v>
      </c>
      <c r="H10" s="9">
        <v>42</v>
      </c>
      <c r="I10" s="10" t="str">
        <f>EVALTION(Table1[[#This Row],[العمر]])</f>
        <v>40 EENS</v>
      </c>
      <c r="J10" s="10">
        <v>12</v>
      </c>
      <c r="K10" s="5">
        <v>1</v>
      </c>
    </row>
    <row r="11" spans="1:11" x14ac:dyDescent="0.35">
      <c r="A11" s="8">
        <v>10</v>
      </c>
      <c r="B11" s="9" t="s">
        <v>17</v>
      </c>
      <c r="C11" s="9" t="s">
        <v>52</v>
      </c>
      <c r="D11" s="9" t="s">
        <v>21</v>
      </c>
      <c r="E11" s="9" t="s">
        <v>28</v>
      </c>
      <c r="F11" s="9" t="s">
        <v>44</v>
      </c>
      <c r="G11" s="9" t="s">
        <v>49</v>
      </c>
      <c r="H11" s="9">
        <v>25</v>
      </c>
      <c r="I11" s="10" t="str">
        <f>EVALTION(Table1[[#This Row],[العمر]])</f>
        <v>20 EENS</v>
      </c>
      <c r="J11" s="10">
        <v>3</v>
      </c>
      <c r="K11" s="9">
        <v>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Sheet3</vt:lpstr>
      <vt:lpstr>Sheet4</vt:lpstr>
      <vt:lpstr>Sheet5</vt:lpstr>
      <vt:lpstr>Sheet6</vt:lpstr>
      <vt:lpstr>calc</vt:lpstr>
      <vt:lpstr>report</vt:lpstr>
      <vt:lpstr>main</vt:lpstr>
      <vt:lpstr>d</vt:lpstr>
      <vt:lpstr>Sum_of_الاجازه</vt:lpstr>
    </vt:vector>
  </TitlesOfParts>
  <Company>Microsoft (C)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MOHAMMED ALI</dc:creator>
  <cp:lastModifiedBy>MOHAMMED ALI</cp:lastModifiedBy>
  <dcterms:created xsi:type="dcterms:W3CDTF">2020-02-13T13:02:51Z</dcterms:created>
  <dcterms:modified xsi:type="dcterms:W3CDTF">2020-05-24T11:37:28Z</dcterms:modified>
</cp:coreProperties>
</file>